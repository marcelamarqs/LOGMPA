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\Downloads\"/>
    </mc:Choice>
  </mc:AlternateContent>
  <xr:revisionPtr revIDLastSave="0" documentId="13_ncr:1_{4091DF5F-469D-458B-8D16-17F002D1B642}" xr6:coauthVersionLast="47" xr6:coauthVersionMax="47" xr10:uidLastSave="{00000000-0000-0000-0000-000000000000}"/>
  <bookViews>
    <workbookView xWindow="-108" yWindow="-108" windowWidth="23256" windowHeight="12456" xr2:uid="{79B5BA07-D2C6-4A71-9E5E-B065B1438F00}"/>
  </bookViews>
  <sheets>
    <sheet name="FRETE MÁQUINAS" sheetId="4" r:id="rId1"/>
    <sheet name="FRETE PEÇAS" sheetId="6" r:id="rId2"/>
    <sheet name="VW DAF" sheetId="9" r:id="rId3"/>
    <sheet name="PEDIDO COMPRA" sheetId="7" r:id="rId4"/>
    <sheet name="UTIL" sheetId="10" r:id="rId5"/>
  </sheets>
  <definedNames>
    <definedName name="_xlnm._FilterDatabase" localSheetId="0" hidden="1">'FRETE MÁQUINAS'!$A$1:$Q$1</definedName>
    <definedName name="_xlnm._FilterDatabase" localSheetId="4" hidden="1">UTIL!$N$1:$R$1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1" i="4" l="1"/>
  <c r="R22" i="4"/>
  <c r="R23" i="4"/>
  <c r="R24" i="4"/>
  <c r="R25" i="4"/>
  <c r="R26" i="4"/>
  <c r="R27" i="4"/>
  <c r="S27" i="4" s="1" a="1"/>
  <c r="S27" i="4" s="1"/>
  <c r="R28" i="4"/>
  <c r="R29" i="4"/>
  <c r="R30" i="4"/>
  <c r="R31" i="4"/>
  <c r="R32" i="4"/>
  <c r="R33" i="4"/>
  <c r="R34" i="4"/>
  <c r="R35" i="4"/>
  <c r="S35" i="4" s="1" a="1"/>
  <c r="S35" i="4" s="1"/>
  <c r="R36" i="4"/>
  <c r="R37" i="4"/>
  <c r="R38" i="4"/>
  <c r="R39" i="4"/>
  <c r="R40" i="4"/>
  <c r="R41" i="4"/>
  <c r="S8" i="4" a="1"/>
  <c r="S8" i="4" s="1"/>
  <c r="S9" i="4" a="1"/>
  <c r="S9" i="4" s="1"/>
  <c r="S10" i="4" a="1"/>
  <c r="S10" i="4" s="1"/>
  <c r="S11" i="4" a="1"/>
  <c r="S11" i="4" s="1"/>
  <c r="S12" i="4" a="1"/>
  <c r="S12" i="4" s="1"/>
  <c r="S13" i="4" a="1"/>
  <c r="S13" i="4" s="1"/>
  <c r="S14" i="4" a="1"/>
  <c r="S14" i="4" s="1"/>
  <c r="S15" i="4" a="1"/>
  <c r="S15" i="4" s="1"/>
  <c r="S16" i="4" a="1"/>
  <c r="S16" i="4" s="1"/>
  <c r="S17" i="4" a="1"/>
  <c r="S17" i="4" s="1"/>
  <c r="S18" i="4" a="1"/>
  <c r="S18" i="4" s="1"/>
  <c r="S19" i="4" a="1"/>
  <c r="S19" i="4" s="1"/>
  <c r="S20" i="4" a="1"/>
  <c r="S20" i="4" s="1"/>
  <c r="S21" i="4" a="1"/>
  <c r="S21" i="4" s="1"/>
  <c r="S22" i="4" a="1"/>
  <c r="S22" i="4" s="1"/>
  <c r="S23" i="4" a="1"/>
  <c r="S23" i="4" s="1"/>
  <c r="S24" i="4" a="1"/>
  <c r="S24" i="4" s="1"/>
  <c r="S25" i="4" a="1"/>
  <c r="S25" i="4" s="1"/>
  <c r="S26" i="4" a="1"/>
  <c r="S26" i="4" s="1"/>
  <c r="S28" i="4" a="1"/>
  <c r="S28" i="4" s="1"/>
  <c r="S29" i="4" a="1"/>
  <c r="S29" i="4" s="1"/>
  <c r="S30" i="4" a="1"/>
  <c r="S30" i="4" s="1"/>
  <c r="S31" i="4" a="1"/>
  <c r="S31" i="4" s="1"/>
  <c r="S32" i="4" a="1"/>
  <c r="S32" i="4" s="1"/>
  <c r="S33" i="4" a="1"/>
  <c r="S33" i="4" s="1"/>
  <c r="S34" i="4" a="1"/>
  <c r="S34" i="4" s="1"/>
  <c r="S36" i="4" a="1"/>
  <c r="S36" i="4" s="1"/>
  <c r="S37" i="4" a="1"/>
  <c r="S37" i="4" s="1"/>
  <c r="S38" i="4" a="1"/>
  <c r="S38" i="4" s="1"/>
  <c r="S39" i="4" a="1"/>
  <c r="S39" i="4" s="1"/>
  <c r="S40" i="4" a="1"/>
  <c r="S40" i="4" s="1"/>
  <c r="S41" i="4" a="1"/>
  <c r="S41" i="4" s="1"/>
  <c r="S3" i="4" a="1"/>
  <c r="S3" i="4" s="1"/>
  <c r="S4" i="4" a="1"/>
  <c r="S4" i="4" s="1"/>
  <c r="S5" i="4" a="1"/>
  <c r="S5" i="4" s="1"/>
  <c r="S6" i="4" a="1"/>
  <c r="S6" i="4" s="1"/>
  <c r="S7" i="4" a="1"/>
  <c r="S7" i="4" s="1"/>
  <c r="S2" i="4" a="1"/>
  <c r="S2" i="4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" i="4"/>
  <c r="N202" i="10"/>
  <c r="N201" i="10"/>
  <c r="N200" i="10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N147" i="10"/>
  <c r="N146" i="10"/>
  <c r="N145" i="10"/>
  <c r="N144" i="10"/>
  <c r="N143" i="10"/>
  <c r="N142" i="10"/>
  <c r="N141" i="10"/>
  <c r="N140" i="10"/>
  <c r="N139" i="10"/>
  <c r="N138" i="10"/>
  <c r="N137" i="10"/>
  <c r="N136" i="10"/>
  <c r="N135" i="10"/>
  <c r="N134" i="10"/>
  <c r="N133" i="10"/>
  <c r="N132" i="10"/>
  <c r="N131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2" i="10"/>
  <c r="L45" i="7"/>
  <c r="L46" i="7"/>
  <c r="L47" i="7"/>
  <c r="L44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E24" i="4" l="1"/>
  <c r="E25" i="4"/>
  <c r="E19" i="4"/>
  <c r="E20" i="4"/>
  <c r="E12" i="4"/>
  <c r="E16" i="4"/>
  <c r="E17" i="4"/>
  <c r="E41" i="4"/>
  <c r="E39" i="4"/>
  <c r="E31" i="4"/>
  <c r="E32" i="4"/>
  <c r="E18" i="4"/>
  <c r="E13" i="4"/>
  <c r="E9" i="4"/>
  <c r="E10" i="4"/>
  <c r="E33" i="4"/>
  <c r="E2" i="4"/>
  <c r="E3" i="4"/>
  <c r="E4" i="4"/>
  <c r="E26" i="4"/>
  <c r="E21" i="4"/>
  <c r="E14" i="4"/>
  <c r="E5" i="4"/>
  <c r="E6" i="4"/>
  <c r="E7" i="4"/>
  <c r="E15" i="4"/>
  <c r="E11" i="4"/>
  <c r="E8" i="4"/>
  <c r="E38" i="4"/>
  <c r="E36" i="4"/>
  <c r="E37" i="4"/>
  <c r="E34" i="4"/>
  <c r="E35" i="4"/>
  <c r="E29" i="4"/>
  <c r="E30" i="4"/>
  <c r="E27" i="4"/>
  <c r="E28" i="4"/>
  <c r="E22" i="4"/>
  <c r="E23" i="4"/>
  <c r="E40" i="4"/>
  <c r="C4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<sst xmlns="http://schemas.openxmlformats.org/spreadsheetml/2006/main" count="2147" uniqueCount="1088">
  <si>
    <t>STATUS</t>
  </si>
  <si>
    <t>FRETE</t>
  </si>
  <si>
    <t>HR</t>
  </si>
  <si>
    <t>KM</t>
  </si>
  <si>
    <t>CHASSI</t>
  </si>
  <si>
    <t>REAL</t>
  </si>
  <si>
    <t>CLIENTE</t>
  </si>
  <si>
    <t>SOLICITANTE</t>
  </si>
  <si>
    <t>ESTÁ:</t>
  </si>
  <si>
    <t>VAI:</t>
  </si>
  <si>
    <t>TIPO</t>
  </si>
  <si>
    <t>ESTÁ EM:</t>
  </si>
  <si>
    <t>VAI PARA:</t>
  </si>
  <si>
    <t>OBSERVAÇÕES</t>
  </si>
  <si>
    <t>https://maps.app.goo.gl/nPrR72QZAjPCStGf7</t>
  </si>
  <si>
    <t>Silvana +55 42 9955-7892 (Golf Clube)</t>
  </si>
  <si>
    <t>ARAPOTI</t>
  </si>
  <si>
    <t>VALOR</t>
  </si>
  <si>
    <t>PONTA GROSSA</t>
  </si>
  <si>
    <t>GUARAPUAVA</t>
  </si>
  <si>
    <t>DATA</t>
  </si>
  <si>
    <t>IRATI</t>
  </si>
  <si>
    <t>PRUDE</t>
  </si>
  <si>
    <t>1BM7230CKS3002086</t>
  </si>
  <si>
    <t>DEMO GOLF CLUBE -NF ? volta</t>
  </si>
  <si>
    <t>carolina.quadros</t>
  </si>
  <si>
    <t>DE LOJA PARA DEMONSTRAÇÃO</t>
  </si>
  <si>
    <t>MPA</t>
  </si>
  <si>
    <t>1BM7215CJSH000128</t>
  </si>
  <si>
    <t>DEMO GOLF CLUBE -NF ? 16h</t>
  </si>
  <si>
    <t>PROPRIO DAF</t>
  </si>
  <si>
    <t>1CQS440AES0155172</t>
  </si>
  <si>
    <t>MARCELO RIBEIRO DE NARDI -NF</t>
  </si>
  <si>
    <t>marcos.ribas</t>
  </si>
  <si>
    <t>DE LOJA PARA CLIENTE</t>
  </si>
  <si>
    <t>https://maps.app.goo.gl/a7As7SRaDnZSRB6c6</t>
  </si>
  <si>
    <t>DANILO - AVISAR ROITEMAN PARA ACOMPANHAR</t>
  </si>
  <si>
    <t>1CQFA25AES0160153</t>
  </si>
  <si>
    <t>1CQS550AER0155105</t>
  </si>
  <si>
    <t>MARCELO RIBEIRO NARDI -NF278794</t>
  </si>
  <si>
    <t>https://maps.app.goo.gl/2DJawZBMR4yqycss9</t>
  </si>
  <si>
    <t xml:space="preserve">DANILO - MARCELO </t>
  </si>
  <si>
    <t>1CQ0630AHR0155127</t>
  </si>
  <si>
    <t>TERCEIRO COLOMBO</t>
  </si>
  <si>
    <t>1NW4030MES0250870</t>
  </si>
  <si>
    <t>VIKTOR LEH -NF107863 - AET ESP+ESCOLTA</t>
  </si>
  <si>
    <t>euclides.junior</t>
  </si>
  <si>
    <t>https://maps.app.goo.gl/CR8ypB1Pd9ZCuWzE6</t>
  </si>
  <si>
    <t xml:space="preserve">Viktor </t>
  </si>
  <si>
    <t>1BM5080EVS6204375</t>
  </si>
  <si>
    <t>CARLA BORKOSKI -NF278340</t>
  </si>
  <si>
    <t>https://maps.app.goo.gl/pz4jP4cRzqhcm3mP6</t>
  </si>
  <si>
    <t>GERALDO - GABRIEL - AVISAR CLEBER PARA ACOMPANHAR</t>
  </si>
  <si>
    <t>1BM5080EVS6204327</t>
  </si>
  <si>
    <t>MARIA BORKOSKI -NF278379</t>
  </si>
  <si>
    <t>PROPRIO VW</t>
  </si>
  <si>
    <t>1BM5080ECN4109659</t>
  </si>
  <si>
    <t>CLIENTE → MANUTENÇÃO</t>
  </si>
  <si>
    <t>daisy.kakol</t>
  </si>
  <si>
    <t>DE CLIENTE PARA LOJA</t>
  </si>
  <si>
    <t>OFICINA</t>
  </si>
  <si>
    <t>1BM5080EEP4112594</t>
  </si>
  <si>
    <t>MANUTENÇÃO → CLIENTE</t>
  </si>
  <si>
    <t>JOSE VALCIR</t>
  </si>
  <si>
    <t>9AGC1007EHS000187</t>
  </si>
  <si>
    <t>TRANSF -NF000076891</t>
  </si>
  <si>
    <t>marcio.jacovossi</t>
  </si>
  <si>
    <t>PRUDENTÓPOLIS</t>
  </si>
  <si>
    <t>DE LOJA PARA LOJA</t>
  </si>
  <si>
    <t>AAAP1112CGS000944</t>
  </si>
  <si>
    <t>TRANSF -NF000076886</t>
  </si>
  <si>
    <t>1CQS550APS0160136</t>
  </si>
  <si>
    <t>DOUGLAS FONSECA -NF 107225</t>
  </si>
  <si>
    <t>marcelo.ferreira</t>
  </si>
  <si>
    <t>DE LOJA PARA DEMONSTRAÇÃO</t>
  </si>
  <si>
    <t>https://maps.app.goo.gl/xyQpe8BG44WqsG1v9</t>
  </si>
  <si>
    <t>1CQRD30AVS0160245</t>
  </si>
  <si>
    <t>TERCEIRO MAZETTO</t>
  </si>
  <si>
    <t>1BM6100JVSD602522</t>
  </si>
  <si>
    <t xml:space="preserve">ADILSON KRASSOSKI -NF11620 </t>
  </si>
  <si>
    <t>https://maps.app.goo.gl/nUnfbBeivgDPDFmy6</t>
  </si>
  <si>
    <t>Adilson</t>
  </si>
  <si>
    <t>1BM6180JKDD001849</t>
  </si>
  <si>
    <t>gustavo.erdmann</t>
  </si>
  <si>
    <t>Cassio</t>
  </si>
  <si>
    <t>1CQS680ATF0110209</t>
  </si>
  <si>
    <t>DOUGLAS FANCHIN TAQUES FONSECA -NF278835</t>
  </si>
  <si>
    <t>https://maps.app.goo.gl/GfTKV558G2iXHWmg8</t>
  </si>
  <si>
    <t>VALTINHO 42-99920-3056</t>
  </si>
  <si>
    <t>1BM6135MCSH000563</t>
  </si>
  <si>
    <t>WILLEM HENDRIK VAN DE RIET -NF109953</t>
  </si>
  <si>
    <t>fernando.wiesinies</t>
  </si>
  <si>
    <t xml:space="preserve">(42)999730047 Willen </t>
  </si>
  <si>
    <t>TERCEIRO NELSON</t>
  </si>
  <si>
    <t>1BM5080EKS4203735</t>
  </si>
  <si>
    <t>VERIDIANA POSS DE LIMA -NF61217</t>
  </si>
  <si>
    <t>josiane.oliveira</t>
  </si>
  <si>
    <t>Veridiana 043984053787 -CEN Alison Russi</t>
  </si>
  <si>
    <t>1BM6135MASH000623</t>
  </si>
  <si>
    <t>VLADEMIR STORTI -NF107917</t>
  </si>
  <si>
    <t>https://maps.app.goo.gl/giUyNXP6omVdANbb6</t>
  </si>
  <si>
    <t>Vladmir</t>
  </si>
  <si>
    <t>1P06110DABA021136</t>
  </si>
  <si>
    <t>leonardo.ramos</t>
  </si>
  <si>
    <t>https://maps.app.goo.gl/zzmzdRt4m8WXMVjg9</t>
  </si>
  <si>
    <t>JUNIOR +55 42 8866-3271</t>
  </si>
  <si>
    <t>1BM7215CVR3000057</t>
  </si>
  <si>
    <t>https://maps.app.goo.gl/pQZUg9LPg5sgdyLs8</t>
  </si>
  <si>
    <t>GABRIEL - 42 -99972-7464</t>
  </si>
  <si>
    <t>MARCELO RIBEIRO DE NARDI -NF278794</t>
  </si>
  <si>
    <t>1BM5060EES4201594</t>
  </si>
  <si>
    <t>JOAQUIM MASCARENHAS -NF278279</t>
  </si>
  <si>
    <t>https://maps.app.goo.gl/s5tPSxgcuWhSkcKc7</t>
  </si>
  <si>
    <t>PAULO - +55 42 9991-2229 - AVISAR ANGELO PARA ACOMPANHAR</t>
  </si>
  <si>
    <t>1NW4025MVKF190132</t>
  </si>
  <si>
    <t>MARLON BONILHA -NF61707</t>
  </si>
  <si>
    <t>edenilson.mattos</t>
  </si>
  <si>
    <t>Fazenda Irmãos II   - Cidade Tomazina - PR</t>
  </si>
  <si>
    <t>1BM5060EAP4104558</t>
  </si>
  <si>
    <t>rafael.santos</t>
  </si>
  <si>
    <t>LUCIANO DE FREITAS - 43 99624-6946</t>
  </si>
  <si>
    <t>TERCEIRO STOSKI</t>
  </si>
  <si>
    <t>1BM6135MPSH000596</t>
  </si>
  <si>
    <t>LAURO MIGUEL STRONA -NF76755</t>
  </si>
  <si>
    <t>https://maps.app.goo.gl/JxzGitfYRrvxzYUL9</t>
  </si>
  <si>
    <t>LAURO MIGUEL STRONA   42 999269190</t>
  </si>
  <si>
    <t>ARNALDO STOCK -NF107847</t>
  </si>
  <si>
    <t xml:space="preserve">Fabio </t>
  </si>
  <si>
    <t>1BM5080EPS4204124</t>
  </si>
  <si>
    <t xml:space="preserve">LUIZ HENRIQUE GREIN -NF107347 </t>
  </si>
  <si>
    <t>https://maps.app.goo.gl/jZEWqzLvNcpTnRBE8</t>
  </si>
  <si>
    <t>Emerson</t>
  </si>
  <si>
    <t>1BM5080ECP4111950</t>
  </si>
  <si>
    <t>https://maps.app.goo.gl/rYQLkSMERduCoffL8</t>
  </si>
  <si>
    <t>RICARDO DRANKA</t>
  </si>
  <si>
    <t>1BM5060ECN4103629</t>
  </si>
  <si>
    <t>https://maps.app.goo.gl/MLVchYQrLvQGhWWp6</t>
  </si>
  <si>
    <t>cezar</t>
  </si>
  <si>
    <t>https://maps.app.goo.gl/MTXwpjxVEM4SBPA46</t>
  </si>
  <si>
    <t>jose</t>
  </si>
  <si>
    <t>1CQFA30AAS0160114</t>
  </si>
  <si>
    <t>1CQS760ACS0160134</t>
  </si>
  <si>
    <t>TERCEIRO DEMETRIO</t>
  </si>
  <si>
    <t>1BM6150JCSD642412</t>
  </si>
  <si>
    <t>TRANSF -NF000076884</t>
  </si>
  <si>
    <t>1BM5078EHS4200616</t>
  </si>
  <si>
    <t>https://maps.app.goo.gl/Yk2FrxveQ1BNpLmN8</t>
  </si>
  <si>
    <t>https://maps.app.goo.gl/fhc785TjS54Vtjgc8</t>
  </si>
  <si>
    <t>https://maps.app.goo.gl/u6RQ92AcKr5YZVN5A</t>
  </si>
  <si>
    <t>https://maps.app.goo.gl/B5W3gFAkVjKrxcms8</t>
  </si>
  <si>
    <t>1BM6100JESD602123</t>
  </si>
  <si>
    <t>OSWALDO R BARBOSA -NF107698</t>
  </si>
  <si>
    <t>https://maps.app.goo.gl/3mYP9KzrASogJS3w9</t>
  </si>
  <si>
    <t>Oswaldo</t>
  </si>
  <si>
    <t>https://maps.app.goo.gl/Kk5FKYUBPHUbo26P8</t>
  </si>
  <si>
    <t>https://maps.app.goo.gl/kFwUPivsMpYS8pGd8</t>
  </si>
  <si>
    <t>https://maps.app.goo.gl/oLpnxFw9huVdueSf7</t>
  </si>
  <si>
    <t>https://maps.app.goo.gl/PXTmMqoYPtx48Gex6</t>
  </si>
  <si>
    <t>Contato CEN Alison 43.98409-2094</t>
  </si>
  <si>
    <t>N/A</t>
  </si>
  <si>
    <t>PROGRAMADO</t>
  </si>
  <si>
    <t>CONCLUIDO</t>
  </si>
  <si>
    <t>SUSPENSO</t>
  </si>
  <si>
    <t>CONCLUIDO (D)</t>
  </si>
  <si>
    <t>PROGRAMADO (D)</t>
  </si>
  <si>
    <t>NOTA</t>
  </si>
  <si>
    <t>OBS</t>
  </si>
  <si>
    <t>NOME</t>
  </si>
  <si>
    <t>DATA DA COLETA</t>
  </si>
  <si>
    <t>MOTOBOY OU DEDICADO?</t>
  </si>
  <si>
    <t>ESCOLHA O MOTOBOY</t>
  </si>
  <si>
    <t>VALOR DO SERVIÇO</t>
  </si>
  <si>
    <t>QUEM IRÁ PAGAR?</t>
  </si>
  <si>
    <t>DESCRIÇÃO</t>
  </si>
  <si>
    <t>DIMENSÕES</t>
  </si>
  <si>
    <t>LOC COLETA</t>
  </si>
  <si>
    <t>LOC ENTREGA</t>
  </si>
  <si>
    <t>SUGESTÃO TRANSP</t>
  </si>
  <si>
    <t>ENVIAR PC PARA</t>
  </si>
  <si>
    <t>PC PARA LOJA</t>
  </si>
  <si>
    <t>ENTREGAR ATÉ</t>
  </si>
  <si>
    <t>REGISTRADO</t>
  </si>
  <si>
    <t>R$ PROP</t>
  </si>
  <si>
    <t>R$ TERC</t>
  </si>
  <si>
    <t>Tipo</t>
  </si>
  <si>
    <t>FILIAL</t>
  </si>
  <si>
    <t>PDIDO</t>
  </si>
  <si>
    <t>CÓD</t>
  </si>
  <si>
    <t>FORNECEDOR</t>
  </si>
  <si>
    <t>STATUS PC</t>
  </si>
  <si>
    <t>Nº NOTA</t>
  </si>
  <si>
    <t>LANÇADA</t>
  </si>
  <si>
    <t>SALVAR COMO</t>
  </si>
  <si>
    <t>Frete Peças</t>
  </si>
  <si>
    <t>047186</t>
  </si>
  <si>
    <t>027525938</t>
  </si>
  <si>
    <t>ESC TRANSPORTES</t>
  </si>
  <si>
    <t>Aprovado</t>
  </si>
  <si>
    <t>FRETE DE PEÇAS - ESC</t>
  </si>
  <si>
    <t>047187</t>
  </si>
  <si>
    <t>PG</t>
  </si>
  <si>
    <t>047188</t>
  </si>
  <si>
    <t>047189</t>
  </si>
  <si>
    <t>CASTRO</t>
  </si>
  <si>
    <t>047190</t>
  </si>
  <si>
    <t>GRPVA</t>
  </si>
  <si>
    <t>047192</t>
  </si>
  <si>
    <t>TIBAGI</t>
  </si>
  <si>
    <t>047193</t>
  </si>
  <si>
    <t>047258</t>
  </si>
  <si>
    <t>061196032</t>
  </si>
  <si>
    <t xml:space="preserve">ANDREIA R. COURIER  </t>
  </si>
  <si>
    <t>047247</t>
  </si>
  <si>
    <t>049138592</t>
  </si>
  <si>
    <t>DELTA MOTOS COURIER</t>
  </si>
  <si>
    <t>MOTOBOY X CLIENTE: ENTREGAS DO MÊS DE OUTUBRO</t>
  </si>
  <si>
    <t>047246</t>
  </si>
  <si>
    <t>047233</t>
  </si>
  <si>
    <t xml:space="preserve">FRETE DE PEÇAS MOTOBOY X CLIENTE                                                </t>
  </si>
  <si>
    <t>047243</t>
  </si>
  <si>
    <t>047244</t>
  </si>
  <si>
    <t>047249</t>
  </si>
  <si>
    <t>047267</t>
  </si>
  <si>
    <t>Manutenção VW</t>
  </si>
  <si>
    <t>047178</t>
  </si>
  <si>
    <t>004892707</t>
  </si>
  <si>
    <t>DNIT</t>
  </si>
  <si>
    <t>BOLETO DNIT - AET TRIMESTRAL VW (120006)</t>
  </si>
  <si>
    <t>047199</t>
  </si>
  <si>
    <t>034154225</t>
  </si>
  <si>
    <t>JOHN ELVIS COURIER</t>
  </si>
  <si>
    <t>FRETE DE PEÇAS P/ CLIENTE</t>
  </si>
  <si>
    <t>Frete Máq. Trator</t>
  </si>
  <si>
    <t>047269</t>
  </si>
  <si>
    <t>032878844</t>
  </si>
  <si>
    <t>STOSKI TRANSPORTES</t>
  </si>
  <si>
    <t>ENTREGA TRATOR 6135M - LAURO MIGUEL STRONA</t>
  </si>
  <si>
    <t>047315</t>
  </si>
  <si>
    <t>006914002</t>
  </si>
  <si>
    <t>TRANSCAPITINGA  FRET</t>
  </si>
  <si>
    <t>TRANSPORTE DE TRATOR DE JAPIRA PARA ARAPOTI</t>
  </si>
  <si>
    <t>047437</t>
  </si>
  <si>
    <t>Manutenção DAF</t>
  </si>
  <si>
    <t>047117</t>
  </si>
  <si>
    <t>078206513</t>
  </si>
  <si>
    <t>DETRAN PR</t>
  </si>
  <si>
    <t>Reboque: sem ABS correto</t>
  </si>
  <si>
    <t>Reboque: Licenciamento 2025</t>
  </si>
  <si>
    <t>047268</t>
  </si>
  <si>
    <t>051496564</t>
  </si>
  <si>
    <t>MARCOS D COURIER</t>
  </si>
  <si>
    <t>MOTOBOY: orçamento  79186</t>
  </si>
  <si>
    <t>MOTOBOY: TRANSF ENTRE LOJAS GRPVA X CASTRO</t>
  </si>
  <si>
    <t>047348</t>
  </si>
  <si>
    <t>080227796</t>
  </si>
  <si>
    <t>PRINCESA DOS CAMPOS</t>
  </si>
  <si>
    <t>CTE - KLABIN TB</t>
  </si>
  <si>
    <t>TRANSPORTE DE TRATOR PARA SIQUEIRA CAMPOS VEREDIANA</t>
  </si>
  <si>
    <t>047349</t>
  </si>
  <si>
    <t>012772524</t>
  </si>
  <si>
    <t>UNIBOY COURIER</t>
  </si>
  <si>
    <t>MOTOBOY</t>
  </si>
  <si>
    <t>047383</t>
  </si>
  <si>
    <t>010273940</t>
  </si>
  <si>
    <t>SERIE4 - MT</t>
  </si>
  <si>
    <t>peças: correia, polia lisa, polia virabrequim, tensionador -vw</t>
  </si>
  <si>
    <t>serviço de manutenção e troca -vw</t>
  </si>
  <si>
    <t>047116</t>
  </si>
  <si>
    <t>076669324</t>
  </si>
  <si>
    <t>DER - AET VEICULOS</t>
  </si>
  <si>
    <t>33 - D.A. - GRU - Multas de Radares; velocidade: acima de 20%</t>
  </si>
  <si>
    <t>Velocidade: acima de 20% (multa de 2024)</t>
  </si>
  <si>
    <t>Munck</t>
  </si>
  <si>
    <t>UTILIZAÇÃO DE MUNCK PARA CARREGAR E DESCARREGAR NA LOJA</t>
  </si>
  <si>
    <t>047263</t>
  </si>
  <si>
    <t>031370636</t>
  </si>
  <si>
    <t>JORGE LUIZ 2 COURIER</t>
  </si>
  <si>
    <t>047525</t>
  </si>
  <si>
    <t xml:space="preserve">Levar peça na Propriedade do cliente  </t>
  </si>
  <si>
    <t>047328</t>
  </si>
  <si>
    <t>entrega de peça cliente Paulo Roberto Soczek Dzierwa</t>
  </si>
  <si>
    <t>047553</t>
  </si>
  <si>
    <t>050435638</t>
  </si>
  <si>
    <t>ANDREANI - MT</t>
  </si>
  <si>
    <t>Aguardando</t>
  </si>
  <si>
    <t>Diagnóstico e testes via aparelho - VW</t>
  </si>
  <si>
    <t>Conector e sensor de rotação e tomada - VW</t>
  </si>
  <si>
    <t>047527</t>
  </si>
  <si>
    <t>Peça de GRPVA para PG</t>
  </si>
  <si>
    <t>047550</t>
  </si>
  <si>
    <t xml:space="preserve">1. levar peças para Bituruna Pr Cliente Jean Carlos de Bastiane </t>
  </si>
  <si>
    <t>BOLETO</t>
  </si>
  <si>
    <t>FIN</t>
  </si>
  <si>
    <t>CNPJ/CPF</t>
  </si>
  <si>
    <t>Razao Social</t>
  </si>
  <si>
    <t>N Fantasia</t>
  </si>
  <si>
    <t>Home-Page</t>
  </si>
  <si>
    <t>EXPRESSO SAO MIGUEL LTDA</t>
  </si>
  <si>
    <t>EXPRESSO SAO MIGUEL</t>
  </si>
  <si>
    <t>LOG - ASSIS SP</t>
  </si>
  <si>
    <t>NNJOTRANS TRANSPORTES LTDA</t>
  </si>
  <si>
    <t>CARGADEDICADA TRANS</t>
  </si>
  <si>
    <t>LOG - CURITIBA PR</t>
  </si>
  <si>
    <t>60.968.275 MAYCON JOSE CAMARGO DE OLIVEIRA</t>
  </si>
  <si>
    <t>MAYCON TRANSPORTES</t>
  </si>
  <si>
    <t>LOG - CARAMBEI PR</t>
  </si>
  <si>
    <t>LOG - ALTA FLORESTA DOESTE RO</t>
  </si>
  <si>
    <t>LOG - SÃO LEOPOLDO RS</t>
  </si>
  <si>
    <t>LOG - BLUMENAU SC</t>
  </si>
  <si>
    <t>LOG - CAXIAS DO SUL RS</t>
  </si>
  <si>
    <t>LOG - CHAPECO SC</t>
  </si>
  <si>
    <t>LOG - MARINGA PR</t>
  </si>
  <si>
    <t>LOG - PORTO ALEGRE RS</t>
  </si>
  <si>
    <t>LOG - REALEZA MG</t>
  </si>
  <si>
    <t>LOG - SÃO CRISTOVÃO DO SUL SC</t>
  </si>
  <si>
    <t>LOG - SARANDI RS</t>
  </si>
  <si>
    <t>EXPRESSO SAO MIGUEL S/A</t>
  </si>
  <si>
    <t>LOG - PALHOÇA SC</t>
  </si>
  <si>
    <t>EXPRESSO SAO MIGUEL SA</t>
  </si>
  <si>
    <t>LOG - JOINVILLE SC</t>
  </si>
  <si>
    <t>DUNAPETROL C.D.P CONT 7</t>
  </si>
  <si>
    <t>POSTO SHELL FRANQUIA</t>
  </si>
  <si>
    <t>LOG - PONTA GROSSA PR</t>
  </si>
  <si>
    <t>DUNAPETROL COM E DERIV DE PETROL LTDA II</t>
  </si>
  <si>
    <t>DUNAPETROL COM E DERIV DE PETROLEO LTDA</t>
  </si>
  <si>
    <t>DUNAPETROL COM.E DERIV.DE PETROLEO LTDA</t>
  </si>
  <si>
    <t>AXT LOPES E CIA LTDA</t>
  </si>
  <si>
    <t>AXT LOPES - MT</t>
  </si>
  <si>
    <t>ATRHOL - AGENCIA E TRANSPORTES HORIZONTI</t>
  </si>
  <si>
    <t>ATRHOL TRANSPORTES</t>
  </si>
  <si>
    <t>LOG - LAGES SC</t>
  </si>
  <si>
    <t>ATRHOL AGENCIA E TRANSP. HORIZONTINA LTA</t>
  </si>
  <si>
    <t>LOG - HORIZONTINA RS</t>
  </si>
  <si>
    <t>ATRHOL AGENCIA E TRANSP.HORIZONTINA LTDA</t>
  </si>
  <si>
    <t>LOG - INDAIATUBA SP</t>
  </si>
  <si>
    <t>ATRHOL AGENCIA E TRANSPORTES HORIZONTINA</t>
  </si>
  <si>
    <t>LOG - CATALAO GO</t>
  </si>
  <si>
    <t>ATRHOL AG. E TRANSP. HORIZONTINA LTDA</t>
  </si>
  <si>
    <t>LOG - MONTE NEGRO RS</t>
  </si>
  <si>
    <t>ATRHOL AGENCIA DE TRANSPORTES</t>
  </si>
  <si>
    <t>LOG - CANOAS RS</t>
  </si>
  <si>
    <t>A. C. BRAZ DE LIMA - ME</t>
  </si>
  <si>
    <t>MELANCIA TRANSPORTES</t>
  </si>
  <si>
    <t>LOG - CASTRO PR</t>
  </si>
  <si>
    <t>TRANSPORTES BEGNINI LTDA</t>
  </si>
  <si>
    <t>BEGNINI TRANSPORTES</t>
  </si>
  <si>
    <t>NJOTA TRANSPORTES LTDA</t>
  </si>
  <si>
    <t>NJOTA TRANSPORTES</t>
  </si>
  <si>
    <t>LOG - PINHAIS PR</t>
  </si>
  <si>
    <t>METAL F.A ALMEIDA E FRAGULHA LTDA</t>
  </si>
  <si>
    <t>METAL F A - MT</t>
  </si>
  <si>
    <t>ANDREANI AUTO ELETRICA LTDA</t>
  </si>
  <si>
    <t>DENISE PENTEADO ANASTACIO ASA EXPRESS</t>
  </si>
  <si>
    <t>ASA EXPRESS TRANSP</t>
  </si>
  <si>
    <t>LOG - CAMPINAS SP</t>
  </si>
  <si>
    <t>VAN BEIK E CIA LTDA</t>
  </si>
  <si>
    <t>PECAS E SERVICOS SERIE 4 AUTO MECANICA</t>
  </si>
  <si>
    <t>RUTE MENDES DA LUZ GRICZYNSKI MEI</t>
  </si>
  <si>
    <t>GRICZYNSKI TRANSP</t>
  </si>
  <si>
    <t>LOG - IRATI PR</t>
  </si>
  <si>
    <t>COMERCIAL E IMPORTADORA DE PNEUS LTDA</t>
  </si>
  <si>
    <t>CAMPNEUS</t>
  </si>
  <si>
    <t>LOG - CASCAVEL PR</t>
  </si>
  <si>
    <t>ECO BRASIL BIOENERGIA LTDA</t>
  </si>
  <si>
    <t>ECO BRASIL</t>
  </si>
  <si>
    <t>S. T. P. COMERCIO DE FERRAMENTAS LTDA</t>
  </si>
  <si>
    <t>PROMAQ FERRAMENTAS</t>
  </si>
  <si>
    <t>GUINCHO ALTERNATIVA PONTA GROSSA LTDA</t>
  </si>
  <si>
    <t>GUINCHO ALTERNATIVA</t>
  </si>
  <si>
    <t>MANARIM IMPRESSAO DIGITAL LTDA</t>
  </si>
  <si>
    <t>MANARIM IMPRESSOES</t>
  </si>
  <si>
    <t>GOES E DEGRAF LTDA</t>
  </si>
  <si>
    <t>PRESIDENTE PNEUS -MT</t>
  </si>
  <si>
    <t>EXPRESSO PRINCESA DOS CAMPOS</t>
  </si>
  <si>
    <t>LOG - SUMARE SP</t>
  </si>
  <si>
    <t>EMANOEL GERY</t>
  </si>
  <si>
    <t>EMANOEL TRANSPORTES</t>
  </si>
  <si>
    <t>LOG - PRUDENTOPOLIS</t>
  </si>
  <si>
    <t>DYEGO DE OLIVEIRA WOLFF TRANSPORTES LTDA</t>
  </si>
  <si>
    <t>WOLFF A.S. TRANSP</t>
  </si>
  <si>
    <t>LOG - TIBAGI PR</t>
  </si>
  <si>
    <t>ESC TRANSPORTES EXPRESS LTDA</t>
  </si>
  <si>
    <t>TRANSPEN CARGAS E ENCOMENDAS LTDA</t>
  </si>
  <si>
    <t>TRANSPEN CARGAS</t>
  </si>
  <si>
    <t>LOG - ITAPEVA SP</t>
  </si>
  <si>
    <t>ZORTEA SERVICOS AGRICOLAS MAURICIO J Z</t>
  </si>
  <si>
    <t>ZORTEA TRANSPORTES</t>
  </si>
  <si>
    <t xml:space="preserve">LOG - PAULO FRONTIN PR        </t>
  </si>
  <si>
    <t>FJ INSTALACOES E OBRAS ELETRICAS LTDA</t>
  </si>
  <si>
    <t>FJ MUNCK TRANSP</t>
  </si>
  <si>
    <t>FABRICIO KRIK</t>
  </si>
  <si>
    <t>FABRICIO TRANSPORTES</t>
  </si>
  <si>
    <t>LOG - PRUDENTOPOLIS PR</t>
  </si>
  <si>
    <t>LIBERTY TRANSPORTES RODOVIARIO E AEREO</t>
  </si>
  <si>
    <t>LIBERTY TRANSP AEREO</t>
  </si>
  <si>
    <t>LOG - SAO JOSE DOS PINHAIS PR</t>
  </si>
  <si>
    <t>LBR TRANSPORTES AEREOS LTDA</t>
  </si>
  <si>
    <t>LBR TRANSP AEREO</t>
  </si>
  <si>
    <t>N.S.A. CRONOTACOGRAFO LTDA</t>
  </si>
  <si>
    <t>N S A CRONO - MT</t>
  </si>
  <si>
    <t>EXPRESSO PRINCESA DOS CAMPOS S.A</t>
  </si>
  <si>
    <t>LOG - LONDRINA PR</t>
  </si>
  <si>
    <t>DS GUINCHOS E TRANSPORTES LTDA</t>
  </si>
  <si>
    <t>DS TRANSPORTES</t>
  </si>
  <si>
    <t>GAWRONSKI SERVIÇOS DE TORNEARIA</t>
  </si>
  <si>
    <t>TORNEAR GAWRONSKI MT</t>
  </si>
  <si>
    <t>METALURGICA MSL LTDA</t>
  </si>
  <si>
    <t>SILTEC IMPLEMENTOS</t>
  </si>
  <si>
    <t>DOUGLAS DE LARA PEREIRA</t>
  </si>
  <si>
    <t>GUINCHO ALFA TRANSP</t>
  </si>
  <si>
    <t>AUTO SOCORRO E SERVIÇOS NOGUEIRA LTDA</t>
  </si>
  <si>
    <t>NOGUEIRA TRANSPORTES</t>
  </si>
  <si>
    <t>LOG - VIDEIRA SC</t>
  </si>
  <si>
    <t>LOURDES DE JESUS MACHADO DE LARA</t>
  </si>
  <si>
    <t xml:space="preserve">JAK2FUMAÇA TRANSP </t>
  </si>
  <si>
    <t>ATRHOL - AG E TRANSP HORIZONTINA LTDA</t>
  </si>
  <si>
    <t>LOG - SÃO PAULO SP</t>
  </si>
  <si>
    <t>CASA DOS RADIADORES PONTA GROSSA LTDA</t>
  </si>
  <si>
    <t>RADIADORES - MT</t>
  </si>
  <si>
    <t>LECAR RADIADORES LTDA</t>
  </si>
  <si>
    <t>LECARRADIADORES - MT</t>
  </si>
  <si>
    <t>JOSE MAURICIO STOSKI - ME</t>
  </si>
  <si>
    <t>DUNAPETROL COMERCIO DE DERIVADOS DE PETR</t>
  </si>
  <si>
    <t>MACPONTA CAMINHOES LTDA</t>
  </si>
  <si>
    <t>MACPONTA CAMINHOES</t>
  </si>
  <si>
    <t>LOG - MARIALVA PR</t>
  </si>
  <si>
    <t>EMILYE CAROLYNE MUSIAL MANICA</t>
  </si>
  <si>
    <t>KOMBEX EMILYE TRANSP</t>
  </si>
  <si>
    <t>MARIA ROSA TURCZEN FLIZICOSKI GUINCHO</t>
  </si>
  <si>
    <t>JULIANO TRANSPORTES</t>
  </si>
  <si>
    <t>LOG - GUARAPUAVA PR</t>
  </si>
  <si>
    <t>MARCOS MAZETTO- ME</t>
  </si>
  <si>
    <t>MAZETTO TRANSPORTES</t>
  </si>
  <si>
    <t>FIOLA COMÉRCIO DE MOLAS LTDA</t>
  </si>
  <si>
    <t>MOLAS FIOLA - MT</t>
  </si>
  <si>
    <t>ALEXANDRE CARLOS DE MORAES</t>
  </si>
  <si>
    <t>ALEXANDRE C COURIER</t>
  </si>
  <si>
    <t>LOG - IVAIPORA PR</t>
  </si>
  <si>
    <t>AMILTON CESAR STRICKER RODRIGUES DE LIMA</t>
  </si>
  <si>
    <t>JOSEAMILTON2 COURIER</t>
  </si>
  <si>
    <t>ANDREIA ROSA LIMA</t>
  </si>
  <si>
    <t>ANDREW BAHLS 07919692903</t>
  </si>
  <si>
    <t>ANDREW B. COURIER</t>
  </si>
  <si>
    <t>ANILDE VACHESK 58475702953</t>
  </si>
  <si>
    <t>ANILDE V. COURIER</t>
  </si>
  <si>
    <t>LOG - ARAUCARIA PR</t>
  </si>
  <si>
    <t>BRUNO GONCALVES MARRONI 11131998901</t>
  </si>
  <si>
    <t>BRUNO GON. COURIER</t>
  </si>
  <si>
    <t>BRUNO HIGINO SANTOS</t>
  </si>
  <si>
    <t>BRUNO H COURIER</t>
  </si>
  <si>
    <t>LOG - ARAPOTI PR</t>
  </si>
  <si>
    <t>CLOVIS BENEDITO DE OLIVEIRA</t>
  </si>
  <si>
    <t>CLOVIS B COURIER</t>
  </si>
  <si>
    <t>LOG - CAMPO MOURÃO PR</t>
  </si>
  <si>
    <t>DANIEL GUEDES - MEI</t>
  </si>
  <si>
    <t>DANIEL G COURIER</t>
  </si>
  <si>
    <t>ELCIO BOBALO</t>
  </si>
  <si>
    <t>ELCIO B. COURIER</t>
  </si>
  <si>
    <t>ERICSON SIDNEI HAAS</t>
  </si>
  <si>
    <t>ERICSON S. COURIER</t>
  </si>
  <si>
    <t>FERNANDO RAFAEL AGGENS</t>
  </si>
  <si>
    <t>FERNANDO R. COURIER</t>
  </si>
  <si>
    <t>GABRIEL KAUE DOS SANTOS CHAGAS</t>
  </si>
  <si>
    <t>GABRIEL K COURIER</t>
  </si>
  <si>
    <t>GELSON CAMARGO</t>
  </si>
  <si>
    <t>GELSON C. COURIER</t>
  </si>
  <si>
    <t>GUILHERME JUNIOR FERREIRA 11101480971</t>
  </si>
  <si>
    <t>GUILHERME J COURIER</t>
  </si>
  <si>
    <t>HERCULES ALEXANDRE BORTOLOTTI</t>
  </si>
  <si>
    <t>HERCULES  COURIER</t>
  </si>
  <si>
    <t>J A K DE LARA TRANSPORTES -ME</t>
  </si>
  <si>
    <t xml:space="preserve">JAK1FUMAÇA TRANSP </t>
  </si>
  <si>
    <t>J M N D SANTOS ENTREGAS E ENCOMENDAS</t>
  </si>
  <si>
    <t>JESUINO VENTURA FERNANDES</t>
  </si>
  <si>
    <t>JESUINO V COURIER</t>
  </si>
  <si>
    <t>LOG - WENCESLAU BRAZ PR</t>
  </si>
  <si>
    <t>JOAO GUILHERME DOS SANTOS - MEI</t>
  </si>
  <si>
    <t>JOAO GUI COURIER</t>
  </si>
  <si>
    <t>JOHN ELVIS GALVAO DE OLIVEIRA</t>
  </si>
  <si>
    <t>JOHN NICOLAU DA COSTA</t>
  </si>
  <si>
    <t>JOHN N. COURIER</t>
  </si>
  <si>
    <t>LOG - ALMIRANTE TAMANDARE PR</t>
  </si>
  <si>
    <t>JORGE LUIZ DRUGAS</t>
  </si>
  <si>
    <t>JORGE LUIZ COURIER</t>
  </si>
  <si>
    <t>JOSE AMILTON RODRIGUES DE LIMA</t>
  </si>
  <si>
    <t>JOSEAMILTON1 COURIER</t>
  </si>
  <si>
    <t xml:space="preserve">JOSE AMILTON RODRIGUES DE LIMA        </t>
  </si>
  <si>
    <t>JOSEAMILTON3 COURIER</t>
  </si>
  <si>
    <t>LEONARDO BONFIM ASSME 09745950980</t>
  </si>
  <si>
    <t>LEO ASSME COURIER</t>
  </si>
  <si>
    <t>LUCIAN LUIZ ORBACH</t>
  </si>
  <si>
    <t>LUCIAN L. COURIER</t>
  </si>
  <si>
    <t>MARCELO ANTUNES</t>
  </si>
  <si>
    <t>MARCELO A COURIER</t>
  </si>
  <si>
    <t>MARCOS DOMINGUES DE PAULA</t>
  </si>
  <si>
    <t>MARIELEN FIGURSKI DOS SANTOS</t>
  </si>
  <si>
    <t>MARIELEN F. COURIER</t>
  </si>
  <si>
    <t>LOG - SAO MATEUS DO SUL PR</t>
  </si>
  <si>
    <t>MARISTELA DAL MAGRO LANCHES</t>
  </si>
  <si>
    <t>MARISTELA D. COURIER</t>
  </si>
  <si>
    <t>LOG - QUEDAS DO IGUAÇU</t>
  </si>
  <si>
    <t>MOTO TAXI GLOBAL LTDA</t>
  </si>
  <si>
    <t>GLOBAL COURIER</t>
  </si>
  <si>
    <t>LOG - UMUARAMA PR</t>
  </si>
  <si>
    <t>NAVEGACAO SANTA TEREZINHA LTDA</t>
  </si>
  <si>
    <t>NAVEGAÇÃO COURIER</t>
  </si>
  <si>
    <t>PETERSON LUIZ OZORIO ME</t>
  </si>
  <si>
    <t>SERGIO CASTURINO MAFRA</t>
  </si>
  <si>
    <t>SERGIO C COURIER</t>
  </si>
  <si>
    <t>TATIANE MENDES MENDONCA</t>
  </si>
  <si>
    <t>TATIANE M COURIER</t>
  </si>
  <si>
    <t>THIAGO HENRIQUE HOLODIVSKI</t>
  </si>
  <si>
    <t>THIAGO H. COURIER</t>
  </si>
  <si>
    <t>THIAGO MURILO DE MELO</t>
  </si>
  <si>
    <t>DLUCCA COURIER</t>
  </si>
  <si>
    <t>VALDECIR GUIDO</t>
  </si>
  <si>
    <t>VALDECIR G COURIER</t>
  </si>
  <si>
    <t>TREVOMEC COMERCIO DE PEÇAS</t>
  </si>
  <si>
    <t>TREVOMEC PEÇAS</t>
  </si>
  <si>
    <t>ALINE TRANSPORTES AET LOCACOES E TRANSPO</t>
  </si>
  <si>
    <t>ALINE TRANSPORTES</t>
  </si>
  <si>
    <t>MZ GUINDASTES LTDA</t>
  </si>
  <si>
    <t>MUNCK IRATI TRANSP</t>
  </si>
  <si>
    <t>NAIARA BONAN</t>
  </si>
  <si>
    <t>SYBRUX MUNCK TRANSP</t>
  </si>
  <si>
    <t>OTAVIO BONAN SYBRUX</t>
  </si>
  <si>
    <t>SYBRUX TRANSPORTES</t>
  </si>
  <si>
    <t>TRANSPEN CARGAS E ENCOMENDAS</t>
  </si>
  <si>
    <t>TRANSPEN CARGAS E ENCOMENDAS EIRELI</t>
  </si>
  <si>
    <t>LOG - SAO PAULO SP</t>
  </si>
  <si>
    <t>CELSO HARTMANN E CIA LTDA</t>
  </si>
  <si>
    <t>MONTPAR GUINDASTES</t>
  </si>
  <si>
    <t>SUDOESTE TRANSPORTES LTDA</t>
  </si>
  <si>
    <t>SUDOESTE TRANSP</t>
  </si>
  <si>
    <t>LOG - FRANCISCO BELTRAO PR</t>
  </si>
  <si>
    <t>PARAFUSOS GUARAPUAVA LTDA</t>
  </si>
  <si>
    <t>PARAFUSOS GRPVA</t>
  </si>
  <si>
    <t>MICA TRANSPORTES LTDA</t>
  </si>
  <si>
    <t>MICA TRANSPORTES</t>
  </si>
  <si>
    <t>LOG - BOM PRINCIPIO RS</t>
  </si>
  <si>
    <t>DNIT-DEPARTAMENTO NACIONAL DE INFRAEST DE TRANSPOR</t>
  </si>
  <si>
    <t>LOG - BRASILIA DF</t>
  </si>
  <si>
    <t>LOG - RIBEIRÃO PRETO SP</t>
  </si>
  <si>
    <t>ATRHOL AGENCIA TRANSPORTE E TURISMO LTDA</t>
  </si>
  <si>
    <t>LOG - SORRISO MT</t>
  </si>
  <si>
    <t>ROTA 151 TRANSPORTE E LOCACAO EIRELI</t>
  </si>
  <si>
    <t>ROTA 151 TRANSP</t>
  </si>
  <si>
    <t>MEGA GUINDASTES LTDA</t>
  </si>
  <si>
    <t>MEGA GUIND TRANSP</t>
  </si>
  <si>
    <t>PRESIDENTE RECAPAGENS LTDA</t>
  </si>
  <si>
    <t>PRESIDENTE PNEUS</t>
  </si>
  <si>
    <t>FABIO LOGISTICA E TRANSPORTES</t>
  </si>
  <si>
    <t>FABIO TRANSPORTES</t>
  </si>
  <si>
    <t>DERLI DONEDA TRANSPORTES E LOGISTICA</t>
  </si>
  <si>
    <t>DERLI TRANSPORTES</t>
  </si>
  <si>
    <t>LOG - NAO-ME-TOQUE RS</t>
  </si>
  <si>
    <t>R L S MELLO TRANSPORTES</t>
  </si>
  <si>
    <t>MELLO TRANSPORTES</t>
  </si>
  <si>
    <t>RODONAVES TRANSPORTES MULTIMODAL LTDA</t>
  </si>
  <si>
    <t>RODONAVES TRANSP</t>
  </si>
  <si>
    <t>RUHANN COLLECT SALUM</t>
  </si>
  <si>
    <t>R2 AUTO SCRR TRANSP</t>
  </si>
  <si>
    <t>S C GARDINAL LTDA</t>
  </si>
  <si>
    <t>S C GARDINAL - MT</t>
  </si>
  <si>
    <t>MEZZOMO LUBRIFICANTES EIRELI</t>
  </si>
  <si>
    <t>LUBRIQUEDAS</t>
  </si>
  <si>
    <t>LOG - QUEDAS DO IGUAÇU PR</t>
  </si>
  <si>
    <t>EDERSON FABRICIO NICKHORN EIRELI</t>
  </si>
  <si>
    <t>EDERSO GABISA TRANSP</t>
  </si>
  <si>
    <t>LOG - SANTO ANTONIO RS</t>
  </si>
  <si>
    <t>TIAGO ANDREGHETTO</t>
  </si>
  <si>
    <t>ANDREGHETTO TRANSP</t>
  </si>
  <si>
    <t>L. H. ROSSATO TRANSPORTES LTDA</t>
  </si>
  <si>
    <t>LH ROSSATO TRANSPORT</t>
  </si>
  <si>
    <t>LOG - BANDEIRANTES PR</t>
  </si>
  <si>
    <t>LOG - TOLEDO PR</t>
  </si>
  <si>
    <t>MARRERO TRANSPORTADORA LTDA</t>
  </si>
  <si>
    <t>JAPA MARRERO TRANSP</t>
  </si>
  <si>
    <t>LOG - SENGES PR</t>
  </si>
  <si>
    <t>MECANICA SANTA PAULA LTDA</t>
  </si>
  <si>
    <t>MECANICA SANTA PAULA</t>
  </si>
  <si>
    <t>TCP TRANSPORTES PESADOS EIRELI</t>
  </si>
  <si>
    <t>TCP TRANSPORTES</t>
  </si>
  <si>
    <t>INCOMESP INDU.COM.DE MAQ.ESPECIAIS LTDA</t>
  </si>
  <si>
    <t>INCOMESP GUINDASTES</t>
  </si>
  <si>
    <t>RENAN LUCIANO CANETI</t>
  </si>
  <si>
    <t>MARINA AP VAZ ACESSORIOS</t>
  </si>
  <si>
    <t>MARINA ACESSORIOS</t>
  </si>
  <si>
    <t>MATEUS FERNANDO SUTIL</t>
  </si>
  <si>
    <t>MULTISOLDAS E MUNCK</t>
  </si>
  <si>
    <t>AGROMAQ NATANAEL DECOL ME</t>
  </si>
  <si>
    <t>AGROMAQ TRANSPORTES</t>
  </si>
  <si>
    <t>NECKEL &amp; NECKEL LTDA</t>
  </si>
  <si>
    <t>VULCANIZADORA - MT</t>
  </si>
  <si>
    <t>EXPRESSO PRINCESA DOS CAMPOS S/A</t>
  </si>
  <si>
    <t>LOG - CACHOEIRA DO SUL RS</t>
  </si>
  <si>
    <t>LOG - SAO MIGUEL DOESTE SC</t>
  </si>
  <si>
    <t>BARBOZA E BARBOZA LTDA</t>
  </si>
  <si>
    <t>BARBOZA ACESSORIOS</t>
  </si>
  <si>
    <t>RIGONI &amp; RIGONI LTDA</t>
  </si>
  <si>
    <t>NOVA ERA ACESSORIOS</t>
  </si>
  <si>
    <t>R. A. AUTO ELETRICA E AR CONDICIONADO</t>
  </si>
  <si>
    <t>R A AUTO ELE -  MT</t>
  </si>
  <si>
    <t>ART AMBIENTAL LTDA</t>
  </si>
  <si>
    <t>ART AMBIENTAL COLETA</t>
  </si>
  <si>
    <t>ROBSON DA SILVA</t>
  </si>
  <si>
    <t>ROBSON TRANSPORTES</t>
  </si>
  <si>
    <t>58.219.628/0001-62</t>
  </si>
  <si>
    <t xml:space="preserve">RODNEY GUIMARAES DE GEUS                </t>
  </si>
  <si>
    <t>KOMBEX TRANSP</t>
  </si>
  <si>
    <t xml:space="preserve">LOG - CARAMBEI PR             </t>
  </si>
  <si>
    <t>RODONAVES TRANSP. E ENCOMENTDAS LTDA</t>
  </si>
  <si>
    <t>RODONAVES TRANSPORTES E ENCOMENDAS LTDA</t>
  </si>
  <si>
    <t>LOG - CONTAGEM MG</t>
  </si>
  <si>
    <t>RODONAVES-TRANSPORTES E ENCOMENDAS LTDA</t>
  </si>
  <si>
    <t>LOG - APARECIDA DE GOIANIA GO</t>
  </si>
  <si>
    <t>LOG - ITAJAI SC</t>
  </si>
  <si>
    <t>RODONAVES-TRANSPORTES E ENCOM. LTDA</t>
  </si>
  <si>
    <t>RODONAVES TRANSPORTES ENCOMENDAS</t>
  </si>
  <si>
    <t>LOG - PARANAIBA MS</t>
  </si>
  <si>
    <t>RODONAVES TRANSPORTES E ENC. LTDA</t>
  </si>
  <si>
    <t>LOG - RIBEIRAO PRETO SP</t>
  </si>
  <si>
    <t>RODONAVES - TRANSPORTES E ENCOM. LTDA</t>
  </si>
  <si>
    <t>RODONAVES TRANSPORTE E ENCOMENDAS LTDA</t>
  </si>
  <si>
    <t>LOG - UBERABA MG</t>
  </si>
  <si>
    <t>FLORIANO SILVEIRA ME</t>
  </si>
  <si>
    <t>FLORIANO TRANSPORTES</t>
  </si>
  <si>
    <t>SABIA MECANICA AGRICOLA LTDA - ME</t>
  </si>
  <si>
    <t>SÁBIA MUNCK TRANSP</t>
  </si>
  <si>
    <t>DEPARTAMENTO DE ESTRADAS DE ROGAEM DO PR</t>
  </si>
  <si>
    <t>SIDNEI SEBASTIAO SUKOSKI</t>
  </si>
  <si>
    <t>3S TRANSPORTES</t>
  </si>
  <si>
    <t>NELSON LOPES TRANSPORTES ME</t>
  </si>
  <si>
    <t>WEZEN TRANSPORTE E LOGISTICA LTDA ME</t>
  </si>
  <si>
    <t>WEZEN TRANSPORTES</t>
  </si>
  <si>
    <t>LOG - QUINTANA SP</t>
  </si>
  <si>
    <t>MAIARA BRUNA CAVICHIOLI</t>
  </si>
  <si>
    <t>MAY ESPRESS TRANSP</t>
  </si>
  <si>
    <t>LUG COMERCIO DE PECAS PARA TRATORES LTDA</t>
  </si>
  <si>
    <t>LUG TRANSPORTES</t>
  </si>
  <si>
    <t>LOG - COLOMBO PR</t>
  </si>
  <si>
    <t>TRD TRANSPORTE RODOVIÁRIO DALFAN LTDA</t>
  </si>
  <si>
    <t>TRD TRANSPORTES</t>
  </si>
  <si>
    <t>LOG - GUARULHOS SP</t>
  </si>
  <si>
    <t>TX LOG ENCOMENDAS EXPRESSAS LTDA</t>
  </si>
  <si>
    <t>TX LOG TRANSPORTES</t>
  </si>
  <si>
    <t>CEFEQ FERRAMENTAS E EQUIPAMENTOS</t>
  </si>
  <si>
    <t>CEFEQ FERRAMENTAS</t>
  </si>
  <si>
    <t>WRG TRANSPORTES LTDA</t>
  </si>
  <si>
    <t>WRG TRANSPORTES</t>
  </si>
  <si>
    <t>ALEXANDRE EING</t>
  </si>
  <si>
    <t>ALEXANDRE MUC TRANSP</t>
  </si>
  <si>
    <t>21.915.466/0001-97</t>
  </si>
  <si>
    <t xml:space="preserve">SILMARA DA SILVA FERNANDES DE ALMEIDA   </t>
  </si>
  <si>
    <t xml:space="preserve">SIL VIAGENS         </t>
  </si>
  <si>
    <t xml:space="preserve">LOG - JAGUARIAIVA PR          </t>
  </si>
  <si>
    <t>WESLEY DOUGLAS DA SILVA OLIVEIRA</t>
  </si>
  <si>
    <t>WESLEY D. COURIER</t>
  </si>
  <si>
    <t>MULLER ROCHA TRANSPORTES TERRESTRES LTDA</t>
  </si>
  <si>
    <t>CEZINHA TRANSPORTES</t>
  </si>
  <si>
    <t>LOG - TURVO PR</t>
  </si>
  <si>
    <t>DETRAN PR DEPARTO DE TRANSITO DO PARANA</t>
  </si>
  <si>
    <t>ITEM</t>
  </si>
  <si>
    <t>CAMINHÃO VW</t>
  </si>
  <si>
    <t>CAMINHÃO DAF</t>
  </si>
  <si>
    <t>Placa</t>
  </si>
  <si>
    <t>ATV6639</t>
  </si>
  <si>
    <t>SDY9A72</t>
  </si>
  <si>
    <t>Modelo</t>
  </si>
  <si>
    <t>VW 24.320 CLC 6x2</t>
  </si>
  <si>
    <t>DAF CF FAC 410</t>
  </si>
  <si>
    <t>Ano Fabricação</t>
  </si>
  <si>
    <t>Cor</t>
  </si>
  <si>
    <t>Branca</t>
  </si>
  <si>
    <t>Combustível</t>
  </si>
  <si>
    <t>Diesel</t>
  </si>
  <si>
    <t>Caminhão Carga / Prancha</t>
  </si>
  <si>
    <t>Caminhão Carga / Prancha (com Mec. Operac. e Estendida)</t>
  </si>
  <si>
    <t>Potência (CV)</t>
  </si>
  <si>
    <t>CMT (t)</t>
  </si>
  <si>
    <t>PBTC (t)</t>
  </si>
  <si>
    <t>Comprimento (m)</t>
  </si>
  <si>
    <t>Altura (cm)</t>
  </si>
  <si>
    <t>Largura (cm)</t>
  </si>
  <si>
    <t>Velocidade Máx. (km/h)</t>
  </si>
  <si>
    <t>Acessório</t>
  </si>
  <si>
    <t>CAR/REBOQUE/C. ABERTA</t>
  </si>
  <si>
    <t>CARGA REBOQUE</t>
  </si>
  <si>
    <t>Valor Aquisição (Caminhão)</t>
  </si>
  <si>
    <t>Valor Aquisição (Acessório)</t>
  </si>
  <si>
    <t>Valor Total</t>
  </si>
  <si>
    <t>00317009680</t>
  </si>
  <si>
    <t>01326905837</t>
  </si>
  <si>
    <t>00.702.079/0001-00</t>
  </si>
  <si>
    <t>SDZ9C31</t>
  </si>
  <si>
    <t>01328419948</t>
  </si>
  <si>
    <t>SIDER – DER/PR → https://sider.der.pr.gov.br</t>
  </si>
  <si>
    <t>DPRF - Departamento de Polícia Rodoviária Federal → https://www.prf.gov.br/</t>
  </si>
  <si>
    <t>DNIT - Departamento Nacional de infraestrutura de Transportes →  http://www.dnit.gov.br/</t>
  </si>
  <si>
    <t>IPVA - Em caso de dúvidas consulte  → www.fazenda.pr.gov.br</t>
  </si>
  <si>
    <t>Seguro DPVAT → www.dpvatsegurodotransito.com.br</t>
  </si>
  <si>
    <t>Sistema</t>
  </si>
  <si>
    <t>Login</t>
  </si>
  <si>
    <t>ACESSO</t>
  </si>
  <si>
    <t>DNIT (Federais)</t>
  </si>
  <si>
    <t>SIDER/PR (Estaduais - PR)</t>
  </si>
  <si>
    <t>00702079000100</t>
  </si>
  <si>
    <t>6hyod</t>
  </si>
  <si>
    <t>AET - Requerimento de AET</t>
  </si>
  <si>
    <t>MPA@2025</t>
  </si>
  <si>
    <t>Multa Detran</t>
  </si>
  <si>
    <t>DAF</t>
  </si>
  <si>
    <t>116200  -  NIC0998654  -  SDY9A72  -  00702079000100</t>
  </si>
  <si>
    <t>CRLV-e e IPVA</t>
  </si>
  <si>
    <t>Site do Detran</t>
  </si>
  <si>
    <t>LUIZ MAURO PEDROSO DA SILVA; CPF 021.745.239-65; Reg. 02659067776</t>
  </si>
  <si>
    <t>DIOGO DUARTE FERREIRA; CPF 068.744.709-73; Registro 04308191052</t>
  </si>
  <si>
    <t>RENAVAM</t>
  </si>
  <si>
    <t>01326905837  / Reboque: 01328419948</t>
  </si>
  <si>
    <t>Chassi</t>
  </si>
  <si>
    <t>-</t>
  </si>
  <si>
    <t>98PACM410NB124999</t>
  </si>
  <si>
    <t>CRLV (último)</t>
  </si>
  <si>
    <t>IPVA Pago (último)</t>
  </si>
  <si>
    <t>IPVA 2025 (R$)</t>
  </si>
  <si>
    <t>Licenciamento</t>
  </si>
  <si>
    <t>Seguro</t>
  </si>
  <si>
    <t>AET Validade</t>
  </si>
  <si>
    <t>10/03/2025 a 07/06/2025</t>
  </si>
  <si>
    <t>03/03/2025 a 20/05/2025</t>
  </si>
  <si>
    <t>Situação Documental</t>
  </si>
  <si>
    <t>OK (AET e IPVA pagos)</t>
  </si>
  <si>
    <t>Custos Fixos (mensal)</t>
  </si>
  <si>
    <t>Custos Variáveis (mensal)</t>
  </si>
  <si>
    <t>Custo Total (mensal)</t>
  </si>
  <si>
    <t>KM Mês</t>
  </si>
  <si>
    <t>Valor por KM</t>
  </si>
  <si>
    <t>SIG</t>
  </si>
  <si>
    <t>CHA</t>
  </si>
  <si>
    <t>MOD</t>
  </si>
  <si>
    <t>A</t>
  </si>
  <si>
    <t>C</t>
  </si>
  <si>
    <t>L MIN</t>
  </si>
  <si>
    <t>L MAX</t>
  </si>
  <si>
    <t>PESO</t>
  </si>
  <si>
    <t>TRATOR 3000</t>
  </si>
  <si>
    <t>TR</t>
  </si>
  <si>
    <t>3036</t>
  </si>
  <si>
    <t>3036EN</t>
  </si>
  <si>
    <t>TRATOR 5000</t>
  </si>
  <si>
    <t>5060</t>
  </si>
  <si>
    <t>5060E</t>
  </si>
  <si>
    <t>5060EN</t>
  </si>
  <si>
    <t>5080EN</t>
  </si>
  <si>
    <t>5070</t>
  </si>
  <si>
    <t>5070E</t>
  </si>
  <si>
    <t>5078</t>
  </si>
  <si>
    <t>5078E</t>
  </si>
  <si>
    <t>5080</t>
  </si>
  <si>
    <t>5080E</t>
  </si>
  <si>
    <t>5090</t>
  </si>
  <si>
    <t>5090E</t>
  </si>
  <si>
    <t>TRATOR 6000</t>
  </si>
  <si>
    <t>6100</t>
  </si>
  <si>
    <t>6100J</t>
  </si>
  <si>
    <t>6115</t>
  </si>
  <si>
    <t>6115J</t>
  </si>
  <si>
    <t>6125</t>
  </si>
  <si>
    <t>6125J</t>
  </si>
  <si>
    <t>6135</t>
  </si>
  <si>
    <t>6135J</t>
  </si>
  <si>
    <t>6135M</t>
  </si>
  <si>
    <t>6150</t>
  </si>
  <si>
    <t>6150J</t>
  </si>
  <si>
    <t>6150M</t>
  </si>
  <si>
    <t>6170</t>
  </si>
  <si>
    <t>6170J</t>
  </si>
  <si>
    <t>6170M</t>
  </si>
  <si>
    <t>6190</t>
  </si>
  <si>
    <t>6190J</t>
  </si>
  <si>
    <t>6190M</t>
  </si>
  <si>
    <t>6210</t>
  </si>
  <si>
    <t>6210J</t>
  </si>
  <si>
    <t>6210M</t>
  </si>
  <si>
    <t>TRATOR 7000</t>
  </si>
  <si>
    <t>7200</t>
  </si>
  <si>
    <t>7200J</t>
  </si>
  <si>
    <t>7215</t>
  </si>
  <si>
    <t>7215J</t>
  </si>
  <si>
    <t>7230</t>
  </si>
  <si>
    <t>7230J</t>
  </si>
  <si>
    <t>TRATOR 8000</t>
  </si>
  <si>
    <t>8250</t>
  </si>
  <si>
    <t>8250R</t>
  </si>
  <si>
    <t>8270</t>
  </si>
  <si>
    <t>8270R</t>
  </si>
  <si>
    <t>8295</t>
  </si>
  <si>
    <t>8295R</t>
  </si>
  <si>
    <t>8320</t>
  </si>
  <si>
    <t>8320R</t>
  </si>
  <si>
    <t>8345</t>
  </si>
  <si>
    <t>8345R</t>
  </si>
  <si>
    <t>8370</t>
  </si>
  <si>
    <t>8370R</t>
  </si>
  <si>
    <t>8400</t>
  </si>
  <si>
    <t>8400R</t>
  </si>
  <si>
    <t>TRATOR 9000</t>
  </si>
  <si>
    <t>9R 440</t>
  </si>
  <si>
    <t>9R 490</t>
  </si>
  <si>
    <t>9R 540</t>
  </si>
  <si>
    <t>9R 590</t>
  </si>
  <si>
    <t>9R 640</t>
  </si>
  <si>
    <t>9RX 490</t>
  </si>
  <si>
    <t>9RX 540</t>
  </si>
  <si>
    <t>9RX 590</t>
  </si>
  <si>
    <t>9RX 640</t>
  </si>
  <si>
    <t>COLHEITADEIRA</t>
  </si>
  <si>
    <t>CA</t>
  </si>
  <si>
    <t>S430</t>
  </si>
  <si>
    <t>S440</t>
  </si>
  <si>
    <t>S470</t>
  </si>
  <si>
    <t>S550</t>
  </si>
  <si>
    <t>S660</t>
  </si>
  <si>
    <t>S670</t>
  </si>
  <si>
    <t>S680</t>
  </si>
  <si>
    <t>S690</t>
  </si>
  <si>
    <t>S760</t>
  </si>
  <si>
    <t>S770</t>
  </si>
  <si>
    <t>S780</t>
  </si>
  <si>
    <t>S790</t>
  </si>
  <si>
    <t>PLATAFORMA</t>
  </si>
  <si>
    <t>GS</t>
  </si>
  <si>
    <t>10</t>
  </si>
  <si>
    <t>10GS</t>
  </si>
  <si>
    <t>11</t>
  </si>
  <si>
    <t>11GS</t>
  </si>
  <si>
    <t>12</t>
  </si>
  <si>
    <t>12GS</t>
  </si>
  <si>
    <t>13</t>
  </si>
  <si>
    <t>13GS</t>
  </si>
  <si>
    <t>14</t>
  </si>
  <si>
    <t>14GS</t>
  </si>
  <si>
    <t>15</t>
  </si>
  <si>
    <t>15GS</t>
  </si>
  <si>
    <t>16</t>
  </si>
  <si>
    <t>16GS</t>
  </si>
  <si>
    <t>17</t>
  </si>
  <si>
    <t>17GS</t>
  </si>
  <si>
    <t>18</t>
  </si>
  <si>
    <t>18GS</t>
  </si>
  <si>
    <t>19</t>
  </si>
  <si>
    <t>19GS</t>
  </si>
  <si>
    <t>20</t>
  </si>
  <si>
    <t>20GS</t>
  </si>
  <si>
    <t>21</t>
  </si>
  <si>
    <t>21GS</t>
  </si>
  <si>
    <t>22</t>
  </si>
  <si>
    <t>22GS</t>
  </si>
  <si>
    <t>23</t>
  </si>
  <si>
    <t>23GS</t>
  </si>
  <si>
    <t>24</t>
  </si>
  <si>
    <t>24GS</t>
  </si>
  <si>
    <t>25</t>
  </si>
  <si>
    <t>25GS</t>
  </si>
  <si>
    <t>PC</t>
  </si>
  <si>
    <t>0604</t>
  </si>
  <si>
    <t>604C</t>
  </si>
  <si>
    <t>0605</t>
  </si>
  <si>
    <t>605C</t>
  </si>
  <si>
    <t>0606</t>
  </si>
  <si>
    <t>606C</t>
  </si>
  <si>
    <t>0607</t>
  </si>
  <si>
    <t>607C</t>
  </si>
  <si>
    <t>0608</t>
  </si>
  <si>
    <t>608C</t>
  </si>
  <si>
    <t>0609</t>
  </si>
  <si>
    <t>609C</t>
  </si>
  <si>
    <t>0610</t>
  </si>
  <si>
    <t>610C</t>
  </si>
  <si>
    <t>0611</t>
  </si>
  <si>
    <t>611C</t>
  </si>
  <si>
    <t>0612</t>
  </si>
  <si>
    <t>612C</t>
  </si>
  <si>
    <t>0613</t>
  </si>
  <si>
    <t>613C</t>
  </si>
  <si>
    <t>0614</t>
  </si>
  <si>
    <t>614C</t>
  </si>
  <si>
    <t>0615</t>
  </si>
  <si>
    <t>615C</t>
  </si>
  <si>
    <t>0616</t>
  </si>
  <si>
    <t>616C</t>
  </si>
  <si>
    <t>PF</t>
  </si>
  <si>
    <t>616F</t>
  </si>
  <si>
    <t>PR</t>
  </si>
  <si>
    <t>616R</t>
  </si>
  <si>
    <t>0617</t>
  </si>
  <si>
    <t>617C</t>
  </si>
  <si>
    <t>0618</t>
  </si>
  <si>
    <t>618F</t>
  </si>
  <si>
    <t>618R</t>
  </si>
  <si>
    <t>0620</t>
  </si>
  <si>
    <t>620F</t>
  </si>
  <si>
    <t>620R</t>
  </si>
  <si>
    <t>0622</t>
  </si>
  <si>
    <t>622F</t>
  </si>
  <si>
    <t>622R</t>
  </si>
  <si>
    <t>0624</t>
  </si>
  <si>
    <t>624C</t>
  </si>
  <si>
    <t>0625</t>
  </si>
  <si>
    <t>625F</t>
  </si>
  <si>
    <t>0627</t>
  </si>
  <si>
    <t>627C</t>
  </si>
  <si>
    <t>0630</t>
  </si>
  <si>
    <t>630F</t>
  </si>
  <si>
    <t>0635</t>
  </si>
  <si>
    <t>635F</t>
  </si>
  <si>
    <t>FD</t>
  </si>
  <si>
    <t>0730</t>
  </si>
  <si>
    <t>730FD</t>
  </si>
  <si>
    <t>0735</t>
  </si>
  <si>
    <t>735FD</t>
  </si>
  <si>
    <t>0740</t>
  </si>
  <si>
    <t>740FD</t>
  </si>
  <si>
    <t>0745</t>
  </si>
  <si>
    <t>745FD</t>
  </si>
  <si>
    <t>08</t>
  </si>
  <si>
    <t>08GS</t>
  </si>
  <si>
    <t>09</t>
  </si>
  <si>
    <t>09GS</t>
  </si>
  <si>
    <t>FA</t>
  </si>
  <si>
    <t>F50</t>
  </si>
  <si>
    <t>HDF50</t>
  </si>
  <si>
    <t>FA30</t>
  </si>
  <si>
    <t>RD</t>
  </si>
  <si>
    <t>RD30</t>
  </si>
  <si>
    <t>RD35</t>
  </si>
  <si>
    <t>PLANTADEIRA</t>
  </si>
  <si>
    <t>PL</t>
  </si>
  <si>
    <t>1107</t>
  </si>
  <si>
    <t>1109</t>
  </si>
  <si>
    <t>1111</t>
  </si>
  <si>
    <t>1113</t>
  </si>
  <si>
    <t>1207</t>
  </si>
  <si>
    <t>1209</t>
  </si>
  <si>
    <t>1211</t>
  </si>
  <si>
    <t>1213</t>
  </si>
  <si>
    <t>2113</t>
  </si>
  <si>
    <t>2115</t>
  </si>
  <si>
    <t>2117</t>
  </si>
  <si>
    <t>2122</t>
  </si>
  <si>
    <t>2126</t>
  </si>
  <si>
    <t>2130</t>
  </si>
  <si>
    <t>2134</t>
  </si>
  <si>
    <t>DB40</t>
  </si>
  <si>
    <t>DB50</t>
  </si>
  <si>
    <t>DB74</t>
  </si>
  <si>
    <t>DB90</t>
  </si>
  <si>
    <t>PULVERIZADOR</t>
  </si>
  <si>
    <t>PV</t>
  </si>
  <si>
    <t>4025</t>
  </si>
  <si>
    <t>M4025</t>
  </si>
  <si>
    <t>4030</t>
  </si>
  <si>
    <t>M4030</t>
  </si>
  <si>
    <t>4040</t>
  </si>
  <si>
    <t>M4040</t>
  </si>
  <si>
    <t>4630</t>
  </si>
  <si>
    <t>M4630</t>
  </si>
  <si>
    <t>120J</t>
  </si>
  <si>
    <t>125J</t>
  </si>
  <si>
    <t>FORRAGEIRA</t>
  </si>
  <si>
    <t>FO</t>
  </si>
  <si>
    <t>8100</t>
  </si>
  <si>
    <t>8300</t>
  </si>
  <si>
    <t>8500</t>
  </si>
  <si>
    <t>CARRETA</t>
  </si>
  <si>
    <t>CT</t>
  </si>
  <si>
    <t>5685</t>
  </si>
  <si>
    <t>FA25</t>
  </si>
  <si>
    <t>N</t>
  </si>
  <si>
    <t>SOLICITAÇÕES</t>
  </si>
  <si>
    <t>FORNECEDORES</t>
  </si>
  <si>
    <t>MacPonta AGRO – 00.702.079/0001-00</t>
  </si>
  <si>
    <t>Ponta Grossa PR– Av. Sen. Flávio Carvalho Guimarães, 2100 - Boa Vista, 84072-190</t>
  </si>
  <si>
    <t>MacPonta AGRO – 00.702.079/0002-83</t>
  </si>
  <si>
    <t>Castro PR–Av. Pref. Ronie Cardoso, 800 - Jardim das Araucarias, 84174-105</t>
  </si>
  <si>
    <t>MacPonta AGRO –00.702.079/0003-64</t>
  </si>
  <si>
    <t>Irati PR– Rua Eduardo Van Der Larrs, S/N, Km 237 - Nhapindazal, 84500-536</t>
  </si>
  <si>
    <t>MacPonta AGRO – 00.702.079/0004-45</t>
  </si>
  <si>
    <t>Arapoti PR– PR-092, 231, 84990-000</t>
  </si>
  <si>
    <t>MacPonta AGRO – 00.702.079/0005-26</t>
  </si>
  <si>
    <t>Guarapuava PR– Rodovia BR 277, Km 347 - Jardim das Americas, 85031-350</t>
  </si>
  <si>
    <t>MacPonta AGRO – 00.702.079/0006-07</t>
  </si>
  <si>
    <t>Prudentópolis PR– Rua 12 de Outubro, 21 - Vila Iguaçu, 84400-000</t>
  </si>
  <si>
    <t>MacPonta AGRO – 00.702.079/0007-98</t>
  </si>
  <si>
    <t>Quedas do Iguaçu PR– Av. Ipê, 1495 - Centro, 85460-000</t>
  </si>
  <si>
    <t>MacPonta AGRO – 00.702.079/0008-79</t>
  </si>
  <si>
    <t>Tibagi PR– Av. Manoel das Dores, 891 - Centro, 84300-000</t>
  </si>
  <si>
    <t>RATEIO</t>
  </si>
  <si>
    <t>511010301003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</si>
  <si>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</si>
  <si>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</si>
  <si>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</si>
  <si>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</si>
  <si>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</si>
  <si>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</si>
  <si>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</si>
  <si>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</si>
  <si>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PARA CADASTRAR FORNECEDOR</t>
  </si>
  <si>
    <t>CNPJ:</t>
  </si>
  <si>
    <t>Razão Social:</t>
  </si>
  <si>
    <t>Nome Fantasia:</t>
  </si>
  <si>
    <t>Endereço (Rua e Bairro):</t>
  </si>
  <si>
    <t>Estado:</t>
  </si>
  <si>
    <t>Município:</t>
  </si>
  <si>
    <t>CEP:</t>
  </si>
  <si>
    <t>Telefone Principal:</t>
  </si>
  <si>
    <t>Ins. Estadual:</t>
  </si>
  <si>
    <t xml:space="preserve">Form. Pgto.: 45 </t>
  </si>
  <si>
    <t>E-mail:</t>
  </si>
  <si>
    <t>Cond. Pagto: 009 ou 002</t>
  </si>
  <si>
    <t>PIX:</t>
  </si>
  <si>
    <t>Grp. Tribut.: F01</t>
  </si>
  <si>
    <t>Cod. IBGE: ?</t>
  </si>
  <si>
    <t>Nome Representante:</t>
  </si>
  <si>
    <t>Forma de pagamento:</t>
  </si>
  <si>
    <t>Cidade</t>
  </si>
  <si>
    <t>CNPJ</t>
  </si>
  <si>
    <t>Código</t>
  </si>
  <si>
    <t>Mac1060#</t>
  </si>
  <si>
    <t>00702079000283</t>
  </si>
  <si>
    <t>Mac1062#</t>
  </si>
  <si>
    <t>00702079000364</t>
  </si>
  <si>
    <t>Mac1063#</t>
  </si>
  <si>
    <t>00702079000445</t>
  </si>
  <si>
    <t>Mac1064#</t>
  </si>
  <si>
    <t>00702079000526</t>
  </si>
  <si>
    <t>Mac1065#</t>
  </si>
  <si>
    <t>PRUDENTOPOLIS</t>
  </si>
  <si>
    <t>00702079000607</t>
  </si>
  <si>
    <t>Mac1066#</t>
  </si>
  <si>
    <t>QUEDAS</t>
  </si>
  <si>
    <t>00702079000798</t>
  </si>
  <si>
    <t>Mac1067#</t>
  </si>
  <si>
    <t>00702079000879</t>
  </si>
  <si>
    <t>Mac1068#</t>
  </si>
  <si>
    <t>LOGIN PRINCESA TRANSP</t>
  </si>
  <si>
    <t>PRODUTO</t>
  </si>
  <si>
    <t>MC_016</t>
  </si>
  <si>
    <t>Frete Máquinas</t>
  </si>
  <si>
    <t>MC_017</t>
  </si>
  <si>
    <t>MC_019</t>
  </si>
  <si>
    <t>Compra de Peças para Manutenção</t>
  </si>
  <si>
    <t>SV_019</t>
  </si>
  <si>
    <t>Serviço de Manutenção</t>
  </si>
  <si>
    <t>SV_046_0010</t>
  </si>
  <si>
    <t>Serviço de Munck</t>
  </si>
  <si>
    <t>511010601026</t>
  </si>
  <si>
    <t>SV_046</t>
  </si>
  <si>
    <t>Serviço de Terceiro (em geral)</t>
  </si>
  <si>
    <t>CENTRO DE CUSTO</t>
  </si>
  <si>
    <t>Novos – Frete Máquinas e Manutenção</t>
  </si>
  <si>
    <t>Peças Estoque – Frete Peças</t>
  </si>
  <si>
    <t>Peças Comercial – Frete (Novos, CTE; entre lojas ou para clientes, motoboy e etc)</t>
  </si>
  <si>
    <t>Serviços – Frete Peças, Serviço de Munck</t>
  </si>
  <si>
    <t>Usados – Frete Máquinas, Serviço de Munck e Serviço de Terceiros</t>
  </si>
  <si>
    <t>quando for assunto relacionado a AP agricultura de precisão, dpto.</t>
  </si>
  <si>
    <t>FACILITIES quando for algo a manutenção de prédio ou reparações de predio.</t>
  </si>
  <si>
    <t>AET, DNIT, DER - CC DE OPERAÇÕES (GERAL)</t>
  </si>
  <si>
    <t>ÁREA</t>
  </si>
  <si>
    <t>GRUPO APROVAÇÃO</t>
  </si>
  <si>
    <t>Logística</t>
  </si>
  <si>
    <t>000016</t>
  </si>
  <si>
    <t>000001</t>
  </si>
  <si>
    <t>Compras</t>
  </si>
  <si>
    <t>000012</t>
  </si>
  <si>
    <t>Retorno: 161</t>
  </si>
  <si>
    <t>Operação, Natureza e Chave</t>
  </si>
  <si>
    <t>DACTE - CTE - Verificar</t>
  </si>
  <si>
    <t>Operação: 92 e Natureza: 2130 e Chave:X</t>
  </si>
  <si>
    <t>NFS - NFS - N</t>
  </si>
  <si>
    <t>Operação: 87 e Natureza: 2130 e Chave:-</t>
  </si>
  <si>
    <t>DANFE - SPED - Verificar</t>
  </si>
  <si>
    <t>Operação: 51 e Natureza: 2110 e Chave:X</t>
  </si>
  <si>
    <t>REFORMULAR</t>
  </si>
  <si>
    <t>RECEBIDO</t>
  </si>
  <si>
    <t>EM ROTA</t>
  </si>
  <si>
    <t>RECEBIDO (D)</t>
  </si>
  <si>
    <t>PREVISÃO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</si>
</sst>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R$&quot;\ #,##0;[Red]\-&quot;R$&quot;\ #,##0"/>
    <numFmt numFmtId="8" formatCode="&quot;R$&quot;\ #,##0.00;[Red]\-&quot;R$&quot;\ #,##0.00"/>
    <numFmt numFmtId="164" formatCode="&quot;R$&quot;\ #,##0.00"/>
    <numFmt numFmtId="165" formatCode="00&quot;.&quot;000&quot;.&quot;000&quot;/&quot;0000&quot;-&quot;00"/>
  </numFmts>
  <fonts count="26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8"/>
      <color theme="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Aptos Narrow"/>
      <family val="2"/>
    </font>
    <font>
      <sz val="9"/>
      <color rgb="FFFF0000"/>
      <name val="Aptos Narrow"/>
      <family val="2"/>
    </font>
    <font>
      <sz val="8"/>
      <color rgb="FF000000"/>
      <name val="Aptos Narrow"/>
      <family val="2"/>
    </font>
    <font>
      <sz val="8"/>
      <color rgb="FF242424"/>
      <name val="Aptos Narrow"/>
      <family val="2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F7B3E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shrinkToFit="1"/>
    </xf>
    <xf numFmtId="0" fontId="8" fillId="0" borderId="6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164" fontId="8" fillId="0" borderId="0" xfId="0" applyNumberFormat="1" applyFont="1" applyFill="1" applyAlignment="1">
      <alignment horizontal="left" vertical="center"/>
    </xf>
    <xf numFmtId="164" fontId="8" fillId="0" borderId="6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 shrinkToFit="1"/>
    </xf>
    <xf numFmtId="0" fontId="8" fillId="0" borderId="6" xfId="0" applyFont="1" applyFill="1" applyBorder="1" applyAlignment="1">
      <alignment horizontal="left" vertical="center" shrinkToFit="1"/>
    </xf>
    <xf numFmtId="0" fontId="5" fillId="0" borderId="0" xfId="0" applyFont="1" applyFill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20" fontId="9" fillId="0" borderId="0" xfId="0" applyNumberFormat="1" applyFont="1" applyFill="1" applyAlignment="1">
      <alignment horizontal="left" vertical="center"/>
    </xf>
    <xf numFmtId="164" fontId="9" fillId="0" borderId="0" xfId="0" applyNumberFormat="1" applyFont="1" applyFill="1" applyAlignment="1">
      <alignment horizontal="left" vertical="center"/>
    </xf>
    <xf numFmtId="164" fontId="9" fillId="0" borderId="6" xfId="0" applyNumberFormat="1" applyFont="1" applyFill="1" applyBorder="1" applyAlignment="1">
      <alignment horizontal="left" vertical="center"/>
    </xf>
    <xf numFmtId="14" fontId="9" fillId="0" borderId="0" xfId="0" applyNumberFormat="1" applyFont="1" applyFill="1" applyAlignment="1">
      <alignment horizontal="left" vertical="center"/>
    </xf>
    <xf numFmtId="14" fontId="9" fillId="0" borderId="6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 shrinkToFit="1"/>
    </xf>
    <xf numFmtId="0" fontId="0" fillId="0" borderId="0" xfId="1" applyFont="1" applyFill="1" applyBorder="1" applyAlignment="1">
      <alignment horizontal="left" vertical="center" shrinkToFit="1"/>
    </xf>
    <xf numFmtId="0" fontId="9" fillId="0" borderId="6" xfId="0" applyFont="1" applyFill="1" applyBorder="1" applyAlignment="1">
      <alignment horizontal="left" vertical="center" shrinkToFit="1"/>
    </xf>
    <xf numFmtId="0" fontId="0" fillId="0" borderId="0" xfId="0" applyFont="1" applyFill="1" applyAlignment="1">
      <alignment horizontal="left" vertical="center"/>
    </xf>
    <xf numFmtId="0" fontId="0" fillId="0" borderId="6" xfId="1" applyFont="1" applyFill="1" applyBorder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0" fontId="0" fillId="0" borderId="0" xfId="0" applyFont="1" applyAlignment="1">
      <alignment horizontal="left" vertical="center"/>
    </xf>
    <xf numFmtId="14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 shrinkToFit="1"/>
    </xf>
    <xf numFmtId="164" fontId="0" fillId="0" borderId="0" xfId="0" applyNumberFormat="1" applyFont="1" applyAlignment="1">
      <alignment horizontal="left" vertical="center"/>
    </xf>
    <xf numFmtId="0" fontId="0" fillId="0" borderId="0" xfId="0" applyNumberFormat="1" applyFont="1" applyAlignment="1">
      <alignment horizontal="left" vertical="center" shrinkToFit="1"/>
    </xf>
    <xf numFmtId="0" fontId="0" fillId="0" borderId="6" xfId="0" applyFont="1" applyBorder="1" applyAlignment="1">
      <alignment horizontal="left" vertical="center" shrinkToFit="1"/>
    </xf>
    <xf numFmtId="0" fontId="0" fillId="0" borderId="6" xfId="0" applyFont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3" fontId="7" fillId="5" borderId="7" xfId="0" applyNumberFormat="1" applyFont="1" applyFill="1" applyBorder="1" applyAlignment="1">
      <alignment horizontal="left" vertical="center"/>
    </xf>
    <xf numFmtId="3" fontId="1" fillId="0" borderId="7" xfId="0" applyNumberFormat="1" applyFont="1" applyBorder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165" fontId="7" fillId="5" borderId="7" xfId="0" applyNumberFormat="1" applyFont="1" applyFill="1" applyBorder="1" applyAlignment="1">
      <alignment horizontal="left" vertical="center"/>
    </xf>
    <xf numFmtId="165" fontId="1" fillId="0" borderId="7" xfId="0" applyNumberFormat="1" applyFont="1" applyBorder="1" applyAlignment="1">
      <alignment horizontal="left" vertical="center"/>
    </xf>
    <xf numFmtId="0" fontId="11" fillId="2" borderId="8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8" fontId="13" fillId="7" borderId="0" xfId="0" applyNumberFormat="1" applyFont="1" applyFill="1" applyAlignment="1">
      <alignment horizontal="center" vertical="center"/>
    </xf>
    <xf numFmtId="0" fontId="17" fillId="6" borderId="1" xfId="0" quotePrefix="1" applyFont="1" applyFill="1" applyBorder="1" applyAlignment="1">
      <alignment horizontal="center" vertical="center"/>
    </xf>
    <xf numFmtId="0" fontId="18" fillId="6" borderId="1" xfId="2" applyFont="1" applyFill="1" applyBorder="1" applyAlignment="1">
      <alignment horizontal="center" vertical="center"/>
    </xf>
    <xf numFmtId="0" fontId="19" fillId="6" borderId="1" xfId="2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3" fillId="6" borderId="1" xfId="0" quotePrefix="1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8" fontId="13" fillId="6" borderId="3" xfId="0" applyNumberFormat="1" applyFont="1" applyFill="1" applyBorder="1" applyAlignment="1">
      <alignment horizontal="center" vertical="center"/>
    </xf>
    <xf numFmtId="8" fontId="13" fillId="6" borderId="9" xfId="0" applyNumberFormat="1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14" fontId="13" fillId="6" borderId="3" xfId="0" applyNumberFormat="1" applyFont="1" applyFill="1" applyBorder="1" applyAlignment="1">
      <alignment horizontal="center" vertical="center"/>
    </xf>
    <xf numFmtId="6" fontId="13" fillId="6" borderId="3" xfId="0" applyNumberFormat="1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3" fontId="13" fillId="6" borderId="3" xfId="0" applyNumberFormat="1" applyFont="1" applyFill="1" applyBorder="1" applyAlignment="1">
      <alignment horizontal="center" vertical="center"/>
    </xf>
    <xf numFmtId="2" fontId="7" fillId="5" borderId="7" xfId="0" applyNumberFormat="1" applyFont="1" applyFill="1" applyBorder="1" applyAlignment="1">
      <alignment horizontal="left" vertical="center"/>
    </xf>
    <xf numFmtId="2" fontId="1" fillId="0" borderId="7" xfId="0" applyNumberFormat="1" applyFont="1" applyBorder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quotePrefix="1" applyFont="1" applyAlignment="1">
      <alignment vertical="center"/>
    </xf>
    <xf numFmtId="0" fontId="10" fillId="0" borderId="0" xfId="0" applyFont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2" fillId="6" borderId="1" xfId="0" quotePrefix="1" applyFont="1" applyFill="1" applyBorder="1" applyAlignment="1">
      <alignment vertical="center"/>
    </xf>
    <xf numFmtId="0" fontId="15" fillId="6" borderId="3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Fill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left" vertical="center" shrinkToFit="1"/>
    </xf>
    <xf numFmtId="0" fontId="24" fillId="4" borderId="0" xfId="0" applyFont="1" applyFill="1" applyAlignment="1">
      <alignment horizontal="left" vertical="center" shrinkToFit="1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7" fillId="5" borderId="7" xfId="0" applyFont="1" applyFill="1" applyBorder="1" applyAlignment="1">
      <alignment horizontal="center" vertical="center"/>
    </xf>
    <xf numFmtId="0" fontId="25" fillId="3" borderId="0" xfId="0" applyFont="1" applyFill="1"/>
    <xf numFmtId="0" fontId="6" fillId="0" borderId="0" xfId="0" applyFont="1" applyFill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textRotation="255"/>
    </xf>
    <xf numFmtId="0" fontId="1" fillId="0" borderId="0" xfId="0" applyFont="1" applyAlignment="1">
      <alignment horizontal="left" vertical="center"/>
    </xf>
  </cellXfs>
  <cellStyles count="3">
    <cellStyle name="Hiperlink" xfId="1" builtinId="8"/>
    <cellStyle name="Hyperlink" xfId="2" xr:uid="{A28B0942-7AC2-424A-8E0C-1E4749708F6E}"/>
    <cellStyle name="Normal" xfId="0" builtinId="0"/>
  </cellStyles>
  <dxfs count="70">
    <dxf>
      <font>
        <color theme="6" tint="-0.499984740745262"/>
      </font>
      <fill>
        <patternFill>
          <bgColor theme="9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1"/>
      </font>
      <fill>
        <patternFill>
          <bgColor rgb="FFFFFFFF"/>
        </patternFill>
      </fill>
      <border>
        <bottom style="hair">
          <color auto="1"/>
        </bottom>
      </border>
    </dxf>
    <dxf>
      <font>
        <color rgb="FF663300"/>
      </font>
      <fill>
        <patternFill>
          <bgColor rgb="FFFFFFCC"/>
        </patternFill>
      </fill>
    </dxf>
    <dxf>
      <font>
        <color theme="6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rgb="FFFFFFCC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 outline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5" formatCode="hh:m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</dxf>
    <dxf>
      <font>
        <b/>
        <i val="0"/>
        <color theme="0"/>
      </font>
      <fill>
        <patternFill>
          <bgColor theme="6" tint="-0.499984740745262"/>
        </patternFill>
      </fill>
    </dxf>
  </dxfs>
  <tableStyles count="1" defaultTableStyle="JD" defaultPivotStyle="PivotStyleLight16">
    <tableStyle name="JD" pivot="0" count="1" xr9:uid="{E672CA73-22C0-4798-94C1-1C25F9451519}">
      <tableStyleElement type="headerRow" dxfId="69"/>
    </tableStyle>
  </tableStyles>
  <colors>
    <mruColors>
      <color rgb="FFFFFFFF"/>
      <color rgb="FF663300"/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DFAF5-07E2-4C34-9DA3-6DAA1EB10B39}" name="MÁQUINAS" displayName="MÁQUINAS" ref="A1:Q41" totalsRowShown="0" headerRowDxfId="68" dataDxfId="67">
  <autoFilter ref="A1:Q41" xr:uid="{721DFAF5-07E2-4C34-9DA3-6DAA1EB10B39}"/>
  <tableColumns count="17">
    <tableColumn id="1" xr3:uid="{74088FA4-9F2D-4E29-80DA-4FFA894E77F4}" name="STATUS" dataDxfId="66"/>
    <tableColumn id="2" xr3:uid="{8BF83C7C-9ED1-47DD-BC5F-63DA1560216C}" name="FRETE" dataDxfId="65"/>
    <tableColumn id="3" xr3:uid="{B758A2AA-452E-4F91-A2A6-E8CD9100E3DE}" name="HR" dataDxfId="64"/>
    <tableColumn id="4" xr3:uid="{65BC45AA-44C5-4933-ADBD-7603EB922BE5}" name="KM" dataDxfId="63"/>
    <tableColumn id="5" xr3:uid="{276116FF-109D-41D4-97B8-33BDEC97F408}" name="R$ PROP" dataDxfId="62">
      <calculatedColumnFormula>IFERROR((D2*7),"?")</calculatedColumnFormula>
    </tableColumn>
    <tableColumn id="6" xr3:uid="{70534257-D783-4146-96E1-2E685CBB89A4}" name="R$ TERC" dataDxfId="61"/>
    <tableColumn id="7" xr3:uid="{3D60D21C-F567-43A3-8E40-BE7F689ECF34}" name="CHASSI" dataDxfId="60"/>
    <tableColumn id="8" xr3:uid="{52559DB2-54FE-4292-B44C-9CD4CF656213}" name="PREVISÃO" dataDxfId="59"/>
    <tableColumn id="9" xr3:uid="{83C52D74-44DB-466D-8572-853956B9E720}" name="REAL" dataDxfId="58"/>
    <tableColumn id="10" xr3:uid="{F096729E-B5E6-4D3D-B03C-234DF10FC38E}" name="NOTA" dataDxfId="57"/>
    <tableColumn id="11" xr3:uid="{9AD47A28-9E98-4261-BB4E-53A18FCF11A6}" name="SOLICITANTE" dataDxfId="56"/>
    <tableColumn id="12" xr3:uid="{797C4B0D-8EC2-4476-9B1D-9680399D22D2}" name="ESTÁ:" dataDxfId="55"/>
    <tableColumn id="13" xr3:uid="{78010355-1A74-41F4-AEBD-3035D2289546}" name="VAI:" dataDxfId="54"/>
    <tableColumn id="14" xr3:uid="{77527C27-6C98-47E9-848B-1D141B3F645A}" name="TIPO" dataDxfId="53"/>
    <tableColumn id="15" xr3:uid="{7B83F651-80C0-40BF-A436-446D32DB61AE}" name="ESTÁ EM:" dataDxfId="52"/>
    <tableColumn id="16" xr3:uid="{26BED5E2-C25C-4647-855D-C4EE6753E61E}" name="VAI PARA:" dataDxfId="51"/>
    <tableColumn id="17" xr3:uid="{22FC017A-B677-426F-90FC-92BAB89D9B4A}" name="OBS" dataDxfId="50"/>
  </tableColumns>
  <tableStyleInfo name="JD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D262C-7768-4BDA-8D29-F168B9CAB568}" name="PEÇAS" displayName="PEÇAS" ref="A1:O3" totalsRowShown="0" headerRowDxfId="49" dataDxfId="48">
  <autoFilter ref="A1:O3" xr:uid="{96ED262C-7768-4BDA-8D29-F168B9CAB568}"/>
  <tableColumns count="15">
    <tableColumn id="1" xr3:uid="{B69EFEFF-F887-4E78-AED9-36BFD47C2163}" name="STATUS" dataDxfId="47"/>
    <tableColumn id="2" xr3:uid="{511D0392-1B92-4D5F-98DD-1C91F6205B11}" name="SOLICITANTE" dataDxfId="46"/>
    <tableColumn id="3" xr3:uid="{B8F596C2-530A-4F4E-B3EA-DA7EFDD27017}" name="DATA DA COLETA" dataDxfId="45"/>
    <tableColumn id="4" xr3:uid="{335FD71F-F30D-4127-A0A4-D426AF2905F5}" name="ENTREGAR ATÉ" dataDxfId="44"/>
    <tableColumn id="5" xr3:uid="{D7065B1F-B165-4C67-A25B-3F3D59C82514}" name="MOTOBOY OU DEDICADO?" dataDxfId="43"/>
    <tableColumn id="6" xr3:uid="{9B4C8DC0-A002-44B4-A11D-9A85D683BD3B}" name="ESCOLHA O MOTOBOY" dataDxfId="42"/>
    <tableColumn id="7" xr3:uid="{9EB62DF8-D35F-4A19-AB06-D3EE65940E69}" name="VALOR DO SERVIÇO" dataDxfId="41"/>
    <tableColumn id="8" xr3:uid="{C3036426-E777-46AB-84E5-08F83C7C9F53}" name="QUEM IRÁ PAGAR?" dataDxfId="40"/>
    <tableColumn id="9" xr3:uid="{0390CDD6-5242-4A5E-9D53-EED122D1E773}" name="DESCRIÇÃO" dataDxfId="39"/>
    <tableColumn id="10" xr3:uid="{FBE8999B-D804-4BFB-A0E7-72089F3212C5}" name="PC PARA LOJA" dataDxfId="38"/>
    <tableColumn id="11" xr3:uid="{16B4FCA8-5A17-4B38-9C2F-3C425FA1D0A3}" name="ENVIAR PC PARA" dataDxfId="37"/>
    <tableColumn id="12" xr3:uid="{B5E3C04A-C416-406E-A41C-9B7D05AF6671}" name="DIMENSÕES" dataDxfId="36"/>
    <tableColumn id="13" xr3:uid="{53E9EDB7-BFDB-4482-B5CF-080269012427}" name="LOC COLETA" dataDxfId="35"/>
    <tableColumn id="14" xr3:uid="{04D10BCA-DA76-463F-8C98-1877641F1A10}" name="LOC ENTREGA" dataDxfId="34"/>
    <tableColumn id="15" xr3:uid="{71FE7848-F2AE-4B15-AC80-5B18D6B94E26}" name="SUGESTÃO TRANSP" dataDxfId="33"/>
  </tableColumns>
  <tableStyleInfo name="JD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58ED65-99DD-4790-A9ED-259A68223EBB}" name="PEDIDOS" displayName="PEDIDOS" ref="A1:L47" totalsRowShown="0" headerRowDxfId="32" dataDxfId="31">
  <autoFilter ref="A1:L47" xr:uid="{CE58ED65-99DD-4790-A9ED-259A68223EBB}"/>
  <tableColumns count="12">
    <tableColumn id="1" xr3:uid="{54382593-1F81-433D-9F93-B76C818187F0}" name="TIPO" dataDxfId="30"/>
    <tableColumn id="2" xr3:uid="{4398062D-7437-47E0-8D47-2FB2DD82042D}" name="FILIAL" dataDxfId="29"/>
    <tableColumn id="3" xr3:uid="{5B021649-4C1E-448A-856D-B68EBD29FE35}" name="DATA" dataDxfId="28"/>
    <tableColumn id="4" xr3:uid="{20475BEE-899B-4456-A60C-6E5E5830D60A}" name="PDIDO" dataDxfId="27"/>
    <tableColumn id="5" xr3:uid="{52167736-38DB-447F-ABA5-F7F3030C6685}" name="CÓD" dataDxfId="26"/>
    <tableColumn id="6" xr3:uid="{EC59F397-0DDF-40D5-9D4F-3232B9F3E3AA}" name="FORNECEDOR" dataDxfId="25"/>
    <tableColumn id="7" xr3:uid="{B62521F7-8D78-4799-9138-F4577472D985}" name="VALOR" dataDxfId="24"/>
    <tableColumn id="8" xr3:uid="{0C453D36-D8CB-40C7-924E-11F2DFA712D7}" name="STATUS PC" dataDxfId="23"/>
    <tableColumn id="9" xr3:uid="{48F02895-65FB-49A4-90AC-03012C204F59}" name="Nº NOTA" dataDxfId="22"/>
    <tableColumn id="10" xr3:uid="{09FC5BAE-1C5A-4726-9E49-5D8CA8695440}" name="LANÇADA" dataDxfId="21"/>
    <tableColumn id="11" xr3:uid="{B1E9C8B8-2111-4A21-9D28-51C2A1C336F9}" name="OBSERVAÇÕES" dataDxfId="20"/>
    <tableColumn id="12" xr3:uid="{B0E66A71-C06E-4E69-B75F-5C2A26766683}" name="SALVAR COMO" dataDxfId="19">
      <calculatedColumnFormula>TEXT($C2,"dd.mm") &amp; " -Ped " &amp; D2 &amp; " -" &amp; F2 &amp; " -R$" &amp; G2 &amp; IF(LEN(TRIM(I2))=0, "", " -NF " &amp; TRIM(I2))</calculatedColumnFormula>
    </tableColumn>
  </tableColumns>
  <tableStyleInfo name="JD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rYQLkSMERduCoffL8" TargetMode="External"/><Relationship Id="rId13" Type="http://schemas.openxmlformats.org/officeDocument/2006/relationships/hyperlink" Target="https://maps.app.goo.gl/oLpnxFw9huVdueSf7" TargetMode="External"/><Relationship Id="rId3" Type="http://schemas.openxmlformats.org/officeDocument/2006/relationships/hyperlink" Target="https://maps.app.goo.gl/Yk2FrxveQ1BNpLmN8" TargetMode="External"/><Relationship Id="rId7" Type="http://schemas.openxmlformats.org/officeDocument/2006/relationships/hyperlink" Target="https://maps.app.goo.gl/MTXwpjxVEM4SBPA46" TargetMode="External"/><Relationship Id="rId12" Type="http://schemas.openxmlformats.org/officeDocument/2006/relationships/hyperlink" Target="https://maps.app.goo.gl/kFwUPivsMpYS8pGd8" TargetMode="External"/><Relationship Id="rId2" Type="http://schemas.openxmlformats.org/officeDocument/2006/relationships/hyperlink" Target="https://maps.app.goo.gl/xyQpe8BG44WqsG1v9" TargetMode="External"/><Relationship Id="rId1" Type="http://schemas.openxmlformats.org/officeDocument/2006/relationships/hyperlink" Target="https://maps.app.goo.gl/xyQpe8BG44WqsG1v9" TargetMode="External"/><Relationship Id="rId6" Type="http://schemas.openxmlformats.org/officeDocument/2006/relationships/hyperlink" Target="https://maps.app.goo.gl/B5W3gFAkVjKrxcms8" TargetMode="External"/><Relationship Id="rId11" Type="http://schemas.openxmlformats.org/officeDocument/2006/relationships/hyperlink" Target="https://maps.app.goo.gl/Kk5FKYUBPHUbo26P8" TargetMode="External"/><Relationship Id="rId5" Type="http://schemas.openxmlformats.org/officeDocument/2006/relationships/hyperlink" Target="https://maps.app.goo.gl/u6RQ92AcKr5YZVN5A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maps.app.goo.gl/3mYP9KzrASogJS3w9" TargetMode="External"/><Relationship Id="rId4" Type="http://schemas.openxmlformats.org/officeDocument/2006/relationships/hyperlink" Target="https://maps.app.goo.gl/fhc785TjS54Vtjgc8" TargetMode="External"/><Relationship Id="rId9" Type="http://schemas.openxmlformats.org/officeDocument/2006/relationships/hyperlink" Target="https://maps.app.goo.gl/MLVchYQrLvQGhWWp6" TargetMode="External"/><Relationship Id="rId14" Type="http://schemas.openxmlformats.org/officeDocument/2006/relationships/hyperlink" Target="https://maps.app.goo.gl/PXTmMqoYPtx48Gex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63F7-9913-46B5-B14A-C4A00A425955}">
  <sheetPr>
    <tabColor theme="2" tint="-0.89999084444715716"/>
  </sheetPr>
  <dimension ref="A1:S47"/>
  <sheetViews>
    <sheetView showGridLines="0" tabSelected="1" workbookViewId="0">
      <pane ySplit="1" topLeftCell="A22" activePane="bottomLeft" state="frozen"/>
      <selection pane="bottomLeft" activeCell="I1" sqref="I1"/>
    </sheetView>
  </sheetViews>
  <sheetFormatPr defaultColWidth="0" defaultRowHeight="14.4" x14ac:dyDescent="0.3"/>
  <cols>
    <col min="1" max="1" width="16.77734375" style="26" bestFit="1" customWidth="1"/>
    <col min="2" max="2" width="18.77734375" style="26" bestFit="1" customWidth="1"/>
    <col min="3" max="3" width="6.21875" style="26" bestFit="1" customWidth="1"/>
    <col min="4" max="4" width="6.109375" style="26" bestFit="1" customWidth="1"/>
    <col min="5" max="5" width="11.21875" style="28" bestFit="1" customWidth="1"/>
    <col min="6" max="6" width="10.5546875" style="28" bestFit="1" customWidth="1"/>
    <col min="7" max="7" width="20" style="26" bestFit="1" customWidth="1"/>
    <col min="8" max="9" width="11.21875" style="26" bestFit="1" customWidth="1"/>
    <col min="10" max="10" width="42.44140625" style="29" bestFit="1" customWidth="1"/>
    <col min="11" max="11" width="16.44140625" style="26" bestFit="1" customWidth="1"/>
    <col min="12" max="13" width="15.109375" style="26" bestFit="1" customWidth="1"/>
    <col min="14" max="14" width="28.109375" style="26" bestFit="1" customWidth="1"/>
    <col min="15" max="16" width="20.77734375" style="29" customWidth="1"/>
    <col min="17" max="17" width="26.77734375" style="29" customWidth="1"/>
    <col min="18" max="18" width="4.88671875" style="2" bestFit="1" customWidth="1"/>
    <col min="19" max="19" width="202.44140625" style="2" bestFit="1" customWidth="1"/>
    <col min="20" max="16384" width="8.88671875" style="26" hidden="1"/>
  </cols>
  <sheetData>
    <row r="1" spans="1:19" s="15" customForma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1" t="s">
        <v>182</v>
      </c>
      <c r="F1" s="12" t="s">
        <v>183</v>
      </c>
      <c r="G1" s="10" t="s">
        <v>4</v>
      </c>
      <c r="H1" s="10" t="s">
        <v>1087</v>
      </c>
      <c r="I1" s="9" t="s">
        <v>5</v>
      </c>
      <c r="J1" s="13" t="s">
        <v>165</v>
      </c>
      <c r="K1" s="10" t="s">
        <v>7</v>
      </c>
      <c r="L1" s="10" t="s">
        <v>8</v>
      </c>
      <c r="M1" s="10" t="s">
        <v>9</v>
      </c>
      <c r="N1" s="9" t="s">
        <v>10</v>
      </c>
      <c r="O1" s="13" t="s">
        <v>11</v>
      </c>
      <c r="P1" s="14" t="s">
        <v>12</v>
      </c>
      <c r="Q1" s="13" t="s">
        <v>166</v>
      </c>
      <c r="R1" s="93"/>
      <c r="S1" s="93"/>
    </row>
    <row r="2" spans="1:19" x14ac:dyDescent="0.3">
      <c r="A2" s="16" t="s">
        <v>161</v>
      </c>
      <c r="B2" s="17" t="s">
        <v>142</v>
      </c>
      <c r="C2" s="18">
        <v>0.11944444444444445</v>
      </c>
      <c r="D2" s="17">
        <v>115</v>
      </c>
      <c r="E2" s="19">
        <f t="shared" ref="E2:E41" si="0">IFERROR((D2*7),"?")</f>
        <v>805</v>
      </c>
      <c r="F2" s="20">
        <v>300</v>
      </c>
      <c r="G2" s="17" t="s">
        <v>61</v>
      </c>
      <c r="H2" s="21">
        <v>45964</v>
      </c>
      <c r="I2" s="22">
        <v>45964</v>
      </c>
      <c r="J2" s="23" t="s">
        <v>57</v>
      </c>
      <c r="K2" s="17" t="s">
        <v>58</v>
      </c>
      <c r="L2" s="17" t="s">
        <v>6</v>
      </c>
      <c r="M2" s="17" t="s">
        <v>21</v>
      </c>
      <c r="N2" s="16" t="s">
        <v>59</v>
      </c>
      <c r="O2" s="24" t="s">
        <v>138</v>
      </c>
      <c r="P2" s="25" t="s">
        <v>27</v>
      </c>
      <c r="Q2" s="23" t="s">
        <v>139</v>
      </c>
      <c r="R2" s="2" t="str">
        <f>IF(
  OR(
    IFERROR(FIND("BM",G2),0)&gt;0,
    IFERROR(FIND("PY",G2),0)&gt;0
  ),
  MID(TRIM(SUBSTITUTE(SUBSTITUTE(G2,CHAR(160),""),CHAR(9),"")),4,5),
  MID(TRIM(SUBSTITUTE(SUBSTITUTE(G2,CHAR(160),""),CHAR(9),"")),4,4)
)</f>
        <v>5080E</v>
      </c>
      <c r="S2" s="2" t="str" cm="1">
        <f t="array" ref="S2">_xlfn.LET(
  _xlpm.ch, TRIM(SUBSTITUTE(G2,CHAR(160),"")),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IF(L2="CLIENTE", O2, IF(LEFT(L2,4)="http", L2, "MACPONTA AGRO DE "&amp;L2)),
  _xlpm.paraBase, IF(M2="CLIENTE", P2, M2),
  _xlpm.paraTxt, IF(LEFT(_xlpm.paraBase,4)="http", _xlpm.paraBase, "MACPONTA AGRO DE "&amp;_xlpm.paraBase),
  _xlpm.nfParte, IF(LEN(TRIM(I2))=0, "", " -NF "&amp;TRIM(I2)),
  "- " &amp; _xlpm.tipotxt &amp; ": *" &amp; G2 &amp; "*" &amp; CHAR(13)&amp;CHAR(10) &amp;
  "- " &amp; _xlpm.dimtxt &amp; CHAR(13)&amp;CHAR(10) &amp;
  "- *Cliente*: " &amp; J2 &amp; _xlpm.nfParte &amp; CHAR(13)&amp;CHAR(10) &amp;
  "- *Obs:* " &amp; Q2 &amp; CHAR(13)&amp;CHAR(10) &amp; CHAR(10) &amp;
  "- *De*: " &amp; _xlpm.deTxt &amp; CHAR(13)&amp;CHAR(10) &amp;
  "- *Para*: " &amp; _xlpm.paraTxt &amp; CHAR(13)&amp;CHAR(10) &amp;
  "- *Ida e volta*: +/- " &amp; TEXT(((D2*1.5)/1440),"h:mm") &amp; "h | " &amp; D2 &amp; "km"
)</f>
        <v>- TRATOR: *1BM5080EEP4112594*_x000D_
- _x000D_
- *Cliente*: CLIENTE → MANUTENÇÃO -NF 45964_x000D_
- *Obs:* jose_x000D_
- *De*: https://maps.app.goo.gl/MTXwpjxVEM4SBPA46_x000D_
- *Para*: MACPONTA AGRO DE IRATI_x000D_
- *Ida e volta*: +/- 2:52h | 115km</v>
      </c>
    </row>
    <row r="3" spans="1:19" x14ac:dyDescent="0.3">
      <c r="A3" s="16" t="s">
        <v>161</v>
      </c>
      <c r="B3" s="17" t="s">
        <v>142</v>
      </c>
      <c r="C3" s="18">
        <v>0.11944444444444445</v>
      </c>
      <c r="D3" s="17">
        <v>115</v>
      </c>
      <c r="E3" s="19">
        <f t="shared" si="0"/>
        <v>805</v>
      </c>
      <c r="F3" s="20">
        <v>500</v>
      </c>
      <c r="G3" s="17" t="s">
        <v>132</v>
      </c>
      <c r="H3" s="21">
        <v>45964</v>
      </c>
      <c r="I3" s="22">
        <v>45964</v>
      </c>
      <c r="J3" s="23" t="s">
        <v>62</v>
      </c>
      <c r="K3" s="17" t="s">
        <v>58</v>
      </c>
      <c r="L3" s="17" t="s">
        <v>21</v>
      </c>
      <c r="M3" s="17" t="s">
        <v>6</v>
      </c>
      <c r="N3" s="16" t="s">
        <v>34</v>
      </c>
      <c r="O3" s="23" t="s">
        <v>27</v>
      </c>
      <c r="P3" s="27" t="s">
        <v>133</v>
      </c>
      <c r="Q3" s="23" t="s">
        <v>134</v>
      </c>
      <c r="R3" s="2" t="str">
        <f t="shared" ref="R3:R41" si="1">IF(
  OR(
    IFERROR(FIND("BM",G3),0)&gt;0,
    IFERROR(FIND("PY",G3),0)&gt;0
  ),
  MID(TRIM(SUBSTITUTE(SUBSTITUTE(G3,CHAR(160),""),CHAR(9),"")),4,5),
  MID(TRIM(SUBSTITUTE(SUBSTITUTE(G3,CHAR(160),""),CHAR(9),"")),4,4)
)</f>
        <v>5080E</v>
      </c>
      <c r="S3" s="2" t="str" cm="1">
        <f t="array" ref="S3">_xlfn.LET(
  _xlpm.ch, TRIM(SUBSTITUTE(G3,CHAR(160),"")),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IF(L3="CLIENTE", O3, IF(LEFT(L3,4)="http", L3, "MACPONTA AGRO DE "&amp;L3)),
  _xlpm.paraBase, IF(M3="CLIENTE", P3, M3),
  _xlpm.paraTxt, IF(LEFT(_xlpm.paraBase,4)="http", _xlpm.paraBase, "MACPONTA AGRO DE "&amp;_xlpm.paraBase),
  _xlpm.nfParte, IF(LEN(TRIM(I3))=0, "", " -NF "&amp;TRIM(I3)),
  "- " &amp; _xlpm.tipotxt &amp; ": *" &amp; G3 &amp; "*" &amp; CHAR(13)&amp;CHAR(10) &amp;
  "- " &amp; _xlpm.dimtxt &amp; CHAR(13)&amp;CHAR(10) &amp;
  "- *Cliente*: " &amp; J3 &amp; _xlpm.nfParte &amp; CHAR(13)&amp;CHAR(10) &amp;
  "- *Obs:* " &amp; Q3 &amp; CHAR(13)&amp;CHAR(10) &amp; CHAR(10) &amp;
  "- *De*: " &amp; _xlpm.deTxt &amp; CHAR(13)&amp;CHAR(10) &amp;
  "- *Para*: " &amp; _xlpm.paraTxt &amp; CHAR(13)&amp;CHAR(10) &amp;
  "- *Ida e volta*: +/- " &amp; TEXT(((D3*1.5)/1440),"h:mm") &amp; "h | " &amp; D3 &amp; "km"
)</f>
        <v>- TRATOR: *1BM5080ECP4111950*_x000D_
- _x000D_
- *Cliente*: MANUTENÇÃO → CLIENTE -NF 45964_x000D_
- *Obs:* RICARDO DRANKA_x000D_
- *De*: MACPONTA AGRO DE IRATI_x000D_
- *Para*: https://maps.app.goo.gl/rYQLkSMERduCoffL8_x000D_
- *Ida e volta*: +/- 2:52h | 115km</v>
      </c>
    </row>
    <row r="4" spans="1:19" x14ac:dyDescent="0.3">
      <c r="A4" s="16" t="s">
        <v>161</v>
      </c>
      <c r="B4" s="17" t="s">
        <v>142</v>
      </c>
      <c r="C4" s="18">
        <v>0.10208333333333333</v>
      </c>
      <c r="D4" s="17">
        <v>98</v>
      </c>
      <c r="E4" s="19">
        <f t="shared" si="0"/>
        <v>686</v>
      </c>
      <c r="F4" s="20">
        <v>300</v>
      </c>
      <c r="G4" s="17" t="s">
        <v>135</v>
      </c>
      <c r="H4" s="21">
        <v>45964</v>
      </c>
      <c r="I4" s="22">
        <v>45964</v>
      </c>
      <c r="J4" s="23" t="s">
        <v>62</v>
      </c>
      <c r="K4" s="17" t="s">
        <v>58</v>
      </c>
      <c r="L4" s="17" t="s">
        <v>21</v>
      </c>
      <c r="M4" s="17" t="s">
        <v>6</v>
      </c>
      <c r="N4" s="16" t="s">
        <v>34</v>
      </c>
      <c r="O4" s="23" t="s">
        <v>27</v>
      </c>
      <c r="P4" s="27" t="s">
        <v>136</v>
      </c>
      <c r="Q4" s="23" t="s">
        <v>137</v>
      </c>
      <c r="R4" s="2" t="str">
        <f t="shared" si="1"/>
        <v>5060E</v>
      </c>
      <c r="S4" s="2" t="str" cm="1">
        <f t="array" ref="S4">_xlfn.LET(
  _xlpm.ch, TRIM(SUBSTITUTE(G4,CHAR(160),"")),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IF(L4="CLIENTE", O4, IF(LEFT(L4,4)="http", L4, "MACPONTA AGRO DE "&amp;L4)),
  _xlpm.paraBase, IF(M4="CLIENTE", P4, M4),
  _xlpm.paraTxt, IF(LEFT(_xlpm.paraBase,4)="http", _xlpm.paraBase, "MACPONTA AGRO DE "&amp;_xlpm.paraBase),
  _xlpm.nfParte, IF(LEN(TRIM(I4))=0, "", " -NF "&amp;TRIM(I4)),
  "- " &amp; _xlpm.tipotxt &amp; ": *" &amp; G4 &amp; "*" &amp; CHAR(13)&amp;CHAR(10) &amp;
  "- " &amp; _xlpm.dimtxt &amp; CHAR(13)&amp;CHAR(10) &amp;
  "- *Cliente*: " &amp; J4 &amp; _xlpm.nfParte &amp; CHAR(13)&amp;CHAR(10) &amp;
  "- *Obs:* " &amp; Q4 &amp; CHAR(13)&amp;CHAR(10) &amp; CHAR(10) &amp;
  "- *De*: " &amp; _xlpm.deTxt &amp; CHAR(13)&amp;CHAR(10) &amp;
  "- *Para*: " &amp; _xlpm.paraTxt &amp; CHAR(13)&amp;CHAR(10) &amp;
  "- *Ida e volta*: +/- " &amp; TEXT(((D4*1.5)/1440),"h:mm") &amp; "h | " &amp; D4 &amp; "km"
)</f>
        <v>- TRATOR: *1BM5060ECN4103629*_x000D_
- _x000D_
- *Cliente*: MANUTENÇÃO → CLIENTE -NF 45964_x000D_
- *Obs:* cezar_x000D_
- *De*: MACPONTA AGRO DE IRATI_x000D_
- *Para*: https://maps.app.goo.gl/MLVchYQrLvQGhWWp6_x000D_
- *Ida e volta*: +/- 2:27h | 98km</v>
      </c>
    </row>
    <row r="5" spans="1:19" x14ac:dyDescent="0.3">
      <c r="A5" s="16" t="s">
        <v>161</v>
      </c>
      <c r="B5" s="17" t="s">
        <v>77</v>
      </c>
      <c r="C5" s="18">
        <v>0.17916666666666667</v>
      </c>
      <c r="D5" s="17">
        <v>172</v>
      </c>
      <c r="E5" s="19">
        <f t="shared" si="0"/>
        <v>1204</v>
      </c>
      <c r="F5" s="20">
        <v>750</v>
      </c>
      <c r="G5" s="17" t="s">
        <v>141</v>
      </c>
      <c r="H5" s="21">
        <v>45964</v>
      </c>
      <c r="I5" s="22">
        <v>45964</v>
      </c>
      <c r="J5" s="23" t="s">
        <v>126</v>
      </c>
      <c r="K5" s="17" t="s">
        <v>46</v>
      </c>
      <c r="L5" s="17" t="s">
        <v>19</v>
      </c>
      <c r="M5" s="17" t="s">
        <v>6</v>
      </c>
      <c r="N5" s="16" t="s">
        <v>34</v>
      </c>
      <c r="O5" s="23" t="s">
        <v>27</v>
      </c>
      <c r="P5" s="27" t="s">
        <v>154</v>
      </c>
      <c r="Q5" s="23" t="s">
        <v>127</v>
      </c>
      <c r="R5" s="2" t="str">
        <f t="shared" si="1"/>
        <v>S760</v>
      </c>
      <c r="S5" s="2" t="str" cm="1">
        <f t="array" ref="S5">_xlfn.LET(
  _xlpm.ch, TRIM(SUBSTITUTE(G5,CHAR(160),"")),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IF(L5="CLIENTE", O5, IF(LEFT(L5,4)="http", L5, "MACPONTA AGRO DE "&amp;L5)),
  _xlpm.paraBase, IF(M5="CLIENTE", P5, M5),
  _xlpm.paraTxt, IF(LEFT(_xlpm.paraBase,4)="http", _xlpm.paraBase, "MACPONTA AGRO DE "&amp;_xlpm.paraBase),
  _xlpm.nfParte, IF(LEN(TRIM(I5))=0, "", " -NF "&amp;TRIM(I5)),
  "- " &amp; _xlpm.tipotxt &amp; ": *" &amp; G5 &amp; "*" &amp; CHAR(13)&amp;CHAR(10) &amp;
  "- " &amp; _xlpm.dimtxt &amp; CHAR(13)&amp;CHAR(10) &amp;
  "- *Cliente*: " &amp; J5 &amp; _xlpm.nfParte &amp; CHAR(13)&amp;CHAR(10) &amp;
  "- *Obs:* " &amp; Q5 &amp; CHAR(13)&amp;CHAR(10) &amp; CHAR(10) &amp;
  "- *De*: " &amp; _xlpm.deTxt &amp; CHAR(13)&amp;CHAR(10) &amp;
  "- *Para*: " &amp; _xlpm.paraTxt &amp; CHAR(13)&amp;CHAR(10) &amp;
  "- *Ida e volta*: +/- " &amp; TEXT(((D5*1.5)/1440),"h:mm") &amp; "h | " &amp; D5 &amp; "km"
)</f>
        <v>- COLHEITADEIRA: *1CQS760ACS0160134*_x000D_
- A:4,00 x C:10,60 x L:3,50-5,20 x P:18.599kg_x000D_
- *Cliente*: ARNALDO STOCK -NF107847 -NF 45964_x000D_
- *Obs:* Fabio _x000D_
- *De*: MACPONTA AGRO DE GUARAPUAVA_x000D_
- *Para*: https://maps.app.goo.gl/Kk5FKYUBPHUbo26P8_x000D_
- *Ida e volta*: +/- 4:18h | 172km</v>
      </c>
    </row>
    <row r="6" spans="1:19" x14ac:dyDescent="0.3">
      <c r="A6" s="16" t="s">
        <v>161</v>
      </c>
      <c r="B6" s="17" t="s">
        <v>77</v>
      </c>
      <c r="C6" s="18">
        <v>0.17916666666666667</v>
      </c>
      <c r="D6" s="17">
        <v>172</v>
      </c>
      <c r="E6" s="19">
        <f t="shared" si="0"/>
        <v>1204</v>
      </c>
      <c r="F6" s="20">
        <v>750</v>
      </c>
      <c r="G6" s="17" t="s">
        <v>140</v>
      </c>
      <c r="H6" s="21">
        <v>45964</v>
      </c>
      <c r="I6" s="22">
        <v>45964</v>
      </c>
      <c r="J6" s="23" t="s">
        <v>126</v>
      </c>
      <c r="K6" s="17" t="s">
        <v>46</v>
      </c>
      <c r="L6" s="17" t="s">
        <v>19</v>
      </c>
      <c r="M6" s="17" t="s">
        <v>6</v>
      </c>
      <c r="N6" s="16" t="s">
        <v>34</v>
      </c>
      <c r="O6" s="23" t="s">
        <v>27</v>
      </c>
      <c r="P6" s="27" t="s">
        <v>155</v>
      </c>
      <c r="Q6" s="23" t="s">
        <v>127</v>
      </c>
      <c r="R6" s="2" t="str">
        <f t="shared" si="1"/>
        <v>FA30</v>
      </c>
      <c r="S6" s="2" t="str" cm="1">
        <f t="array" ref="S6">_xlfn.LET(
  _xlpm.ch, TRIM(SUBSTITUTE(G6,CHAR(160),"")),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IF(L6="CLIENTE", O6, IF(LEFT(L6,4)="http", L6, "MACPONTA AGRO DE "&amp;L6)),
  _xlpm.paraBase, IF(M6="CLIENTE", P6, M6),
  _xlpm.paraTxt, IF(LEFT(_xlpm.paraBase,4)="http", _xlpm.paraBase, "MACPONTA AGRO DE "&amp;_xlpm.paraBase),
  _xlpm.nfParte, IF(LEN(TRIM(I6))=0, "", " -NF "&amp;TRIM(I6)),
  "- " &amp; _xlpm.tipotxt &amp; ": *" &amp; G6 &amp; "*" &amp; CHAR(13)&amp;CHAR(10) &amp;
  "- " &amp; _xlpm.dimtxt &amp; CHAR(13)&amp;CHAR(10) &amp;
  "- *Cliente*: " &amp; J6 &amp; _xlpm.nfParte &amp; CHAR(13)&amp;CHAR(10) &amp;
  "- *Obs:* " &amp; Q6 &amp; CHAR(13)&amp;CHAR(10) &amp; CHAR(10) &amp;
  "- *De*: " &amp; _xlpm.deTxt &amp; CHAR(13)&amp;CHAR(10) &amp;
  "- *Para*: " &amp; _xlpm.paraTxt &amp; CHAR(13)&amp;CHAR(10) &amp;
  "- *Ida e volta*: +/- " &amp; TEXT(((D6*1.5)/1440),"h:mm") &amp; "h | " &amp; D6 &amp; "km"
)</f>
        <v>- PLATAFORMA: *1CQFA30AAS0160114*_x000D_
- A:1,60 x C:9,14 x L:1,80-1,80 x P:2.900kg_x000D_
- *Cliente*: ARNALDO STOCK -NF107847 -NF 45964_x000D_
- *Obs:* Fabio _x000D_
- *De*: MACPONTA AGRO DE GUARAPUAVA_x000D_
- *Para*: https://maps.app.goo.gl/kFwUPivsMpYS8pGd8_x000D_
- *Ida e volta*: +/- 4:18h | 172km</v>
      </c>
    </row>
    <row r="7" spans="1:19" x14ac:dyDescent="0.3">
      <c r="A7" s="16" t="s">
        <v>161</v>
      </c>
      <c r="B7" s="17" t="s">
        <v>77</v>
      </c>
      <c r="C7" s="18">
        <v>0.15625</v>
      </c>
      <c r="D7" s="17">
        <v>150</v>
      </c>
      <c r="E7" s="19">
        <f t="shared" si="0"/>
        <v>1050</v>
      </c>
      <c r="F7" s="20">
        <v>1352</v>
      </c>
      <c r="G7" s="17" t="s">
        <v>128</v>
      </c>
      <c r="H7" s="21">
        <v>45964</v>
      </c>
      <c r="I7" s="22">
        <v>45964</v>
      </c>
      <c r="J7" s="23" t="s">
        <v>129</v>
      </c>
      <c r="K7" s="17" t="s">
        <v>46</v>
      </c>
      <c r="L7" s="17" t="s">
        <v>19</v>
      </c>
      <c r="M7" s="17" t="s">
        <v>6</v>
      </c>
      <c r="N7" s="16" t="s">
        <v>34</v>
      </c>
      <c r="O7" s="23" t="s">
        <v>27</v>
      </c>
      <c r="P7" s="25" t="s">
        <v>130</v>
      </c>
      <c r="Q7" s="23" t="s">
        <v>131</v>
      </c>
      <c r="R7" s="2" t="str">
        <f t="shared" si="1"/>
        <v>5080E</v>
      </c>
      <c r="S7" s="2" t="str" cm="1">
        <f t="array" ref="S7">_xlfn.LET(
  _xlpm.ch, TRIM(SUBSTITUTE(G7,CHAR(160),"")),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IF(L7="CLIENTE", O7, IF(LEFT(L7,4)="http", L7, "MACPONTA AGRO DE "&amp;L7)),
  _xlpm.paraBase, IF(M7="CLIENTE", P7, M7),
  _xlpm.paraTxt, IF(LEFT(_xlpm.paraBase,4)="http", _xlpm.paraBase, "MACPONTA AGRO DE "&amp;_xlpm.paraBase),
  _xlpm.nfParte, IF(LEN(TRIM(I7))=0, "", " -NF "&amp;TRIM(I7)),
  "- " &amp; _xlpm.tipotxt &amp; ": *" &amp; G7 &amp; "*" &amp; CHAR(13)&amp;CHAR(10) &amp;
  "- " &amp; _xlpm.dimtxt &amp; CHAR(13)&amp;CHAR(10) &amp;
  "- *Cliente*: " &amp; J7 &amp; _xlpm.nfParte &amp; CHAR(13)&amp;CHAR(10) &amp;
  "- *Obs:* " &amp; Q7 &amp; CHAR(13)&amp;CHAR(10) &amp; CHAR(10) &amp;
  "- *De*: " &amp; _xlpm.deTxt &amp; CHAR(13)&amp;CHAR(10) &amp;
  "- *Para*: " &amp; _xlpm.paraTxt &amp; CHAR(13)&amp;CHAR(10) &amp;
  "- *Ida e volta*: +/- " &amp; TEXT(((D7*1.5)/1440),"h:mm") &amp; "h | " &amp; D7 &amp; "km"
)</f>
        <v>- TRATOR: *1BM5080EPS4204124*_x000D_
- _x000D_
- *Cliente*: LUIZ HENRIQUE GREIN -NF107347  -NF 45964_x000D_
- *Obs:* Emerson_x000D_
- *De*: MACPONTA AGRO DE GUARAPUAVA_x000D_
- *Para*: https://maps.app.goo.gl/jZEWqzLvNcpTnRBE8_x000D_
- *Ida e volta*: +/- 3:45h | 150km</v>
      </c>
    </row>
    <row r="8" spans="1:19" x14ac:dyDescent="0.3">
      <c r="A8" s="16" t="s">
        <v>161</v>
      </c>
      <c r="B8" s="17" t="s">
        <v>121</v>
      </c>
      <c r="C8" s="18">
        <v>7.2916666666666671E-2</v>
      </c>
      <c r="D8" s="17">
        <v>70</v>
      </c>
      <c r="E8" s="19">
        <f t="shared" si="0"/>
        <v>490</v>
      </c>
      <c r="F8" s="20">
        <v>910</v>
      </c>
      <c r="G8" s="17" t="s">
        <v>122</v>
      </c>
      <c r="H8" s="21">
        <v>45964</v>
      </c>
      <c r="I8" s="22">
        <v>45964</v>
      </c>
      <c r="J8" s="23" t="s">
        <v>123</v>
      </c>
      <c r="K8" s="17" t="s">
        <v>66</v>
      </c>
      <c r="L8" s="17" t="s">
        <v>21</v>
      </c>
      <c r="M8" s="17" t="s">
        <v>6</v>
      </c>
      <c r="N8" s="16" t="s">
        <v>34</v>
      </c>
      <c r="O8" s="23" t="s">
        <v>27</v>
      </c>
      <c r="P8" s="25" t="s">
        <v>124</v>
      </c>
      <c r="Q8" s="23" t="s">
        <v>125</v>
      </c>
      <c r="R8" s="2" t="str">
        <f t="shared" si="1"/>
        <v>6135M</v>
      </c>
      <c r="S8" s="2" t="str" cm="1">
        <f t="array" ref="S8">_xlfn.LET(
  _xlpm.ch, TRIM(SUBSTITUTE(G8,CHAR(160),"")),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IF(L8="CLIENTE", O8, IF(LEFT(L8,4)="http", L8, "MACPONTA AGRO DE "&amp;L8)),
  _xlpm.paraBase, IF(M8="CLIENTE", P8, M8),
  _xlpm.paraTxt, IF(LEFT(_xlpm.paraBase,4)="http", _xlpm.paraBase, "MACPONTA AGRO DE "&amp;_xlpm.paraBase),
  _xlpm.nfParte, IF(LEN(TRIM(I8))=0, "", " -NF "&amp;TRIM(I8)),
  "- " &amp; _xlpm.tipotxt &amp; ": *" &amp; G8 &amp; "*" &amp; CHAR(13)&amp;CHAR(10) &amp;
  "- " &amp; _xlpm.dimtxt &amp; CHAR(13)&amp;CHAR(10) &amp;
  "- *Cliente*: " &amp; J8 &amp; _xlpm.nfParte &amp; CHAR(13)&amp;CHAR(10) &amp;
  "- *Obs:* " &amp; Q8 &amp; CHAR(13)&amp;CHAR(10) &amp; CHAR(10) &amp;
  "- *De*: " &amp; _xlpm.deTxt &amp; CHAR(13)&amp;CHAR(10) &amp;
  "- *Para*: " &amp; _xlpm.paraTxt &amp; CHAR(13)&amp;CHAR(10) &amp;
  "- *Ida e volta*: +/- " &amp; TEXT(((D8*1.5)/1440),"h:mm") &amp; "h | " &amp; D8 &amp; "km"
)</f>
        <v>- TRATOR: *1BM6135MPSH000596*_x000D_
- _x000D_
- *Cliente*: LAURO MIGUEL STRONA -NF76755 -NF 45964_x000D_
- *Obs:* LAURO MIGUEL STRONA   42 999269190_x000D_
- *De*: MACPONTA AGRO DE IRATI_x000D_
- *Para*: https://maps.app.goo.gl/JxzGitfYRrvxzYUL9_x000D_
- *Ida e volta*: +/- 1:45h | 70km</v>
      </c>
    </row>
    <row r="9" spans="1:19" x14ac:dyDescent="0.3">
      <c r="A9" s="16" t="s">
        <v>161</v>
      </c>
      <c r="B9" s="17" t="s">
        <v>55</v>
      </c>
      <c r="C9" s="18">
        <v>5.8333333333333334E-2</v>
      </c>
      <c r="D9" s="17">
        <v>56</v>
      </c>
      <c r="E9" s="19">
        <f t="shared" si="0"/>
        <v>392</v>
      </c>
      <c r="F9" s="20">
        <v>0</v>
      </c>
      <c r="G9" s="17" t="s">
        <v>110</v>
      </c>
      <c r="H9" s="21">
        <v>45965</v>
      </c>
      <c r="I9" s="22">
        <v>45964</v>
      </c>
      <c r="J9" s="23" t="s">
        <v>111</v>
      </c>
      <c r="K9" s="17" t="s">
        <v>33</v>
      </c>
      <c r="L9" s="17" t="s">
        <v>18</v>
      </c>
      <c r="M9" s="17" t="s">
        <v>6</v>
      </c>
      <c r="N9" s="16" t="s">
        <v>34</v>
      </c>
      <c r="O9" s="23" t="s">
        <v>27</v>
      </c>
      <c r="P9" s="25" t="s">
        <v>112</v>
      </c>
      <c r="Q9" s="23" t="s">
        <v>113</v>
      </c>
      <c r="R9" s="2" t="str">
        <f t="shared" si="1"/>
        <v>5060E</v>
      </c>
      <c r="S9" s="2" t="str" cm="1">
        <f t="array" ref="S9">_xlfn.LET(
  _xlpm.ch, TRIM(SUBSTITUTE(G9,CHAR(160),"")),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IF(L9="CLIENTE", O9, IF(LEFT(L9,4)="http", L9, "MACPONTA AGRO DE "&amp;L9)),
  _xlpm.paraBase, IF(M9="CLIENTE", P9, M9),
  _xlpm.paraTxt, IF(LEFT(_xlpm.paraBase,4)="http", _xlpm.paraBase, "MACPONTA AGRO DE "&amp;_xlpm.paraBase),
  _xlpm.nfParte, IF(LEN(TRIM(I9))=0, "", " -NF "&amp;TRIM(I9)),
  "- " &amp; _xlpm.tipotxt &amp; ": *" &amp; G9 &amp; "*" &amp; CHAR(13)&amp;CHAR(10) &amp;
  "- " &amp; _xlpm.dimtxt &amp; CHAR(13)&amp;CHAR(10) &amp;
  "- *Cliente*: " &amp; J9 &amp; _xlpm.nfParte &amp; CHAR(13)&amp;CHAR(10) &amp;
  "- *Obs:* " &amp; Q9 &amp; CHAR(13)&amp;CHAR(10) &amp; CHAR(10) &amp;
  "- *De*: " &amp; _xlpm.deTxt &amp; CHAR(13)&amp;CHAR(10) &amp;
  "- *Para*: " &amp; _xlpm.paraTxt &amp; CHAR(13)&amp;CHAR(10) &amp;
  "- *Ida e volta*: +/- " &amp; TEXT(((D9*1.5)/1440),"h:mm") &amp; "h | " &amp; D9 &amp; "km"
)</f>
        <v>- TRATOR: *1BM5060EES4201594*_x000D_
- _x000D_
- *Cliente*: JOAQUIM MASCARENHAS -NF278279 -NF 45964_x000D_
- *Obs:* PAULO - +55 42 9991-2229 - AVISAR ANGELO PARA ACOMPANHAR_x000D_
- *De*: MACPONTA AGRO DE PONTA GROSSA_x000D_
- *Para*: https://maps.app.goo.gl/s5tPSxgcuWhSkcKc7_x000D_
- *Ida e volta*: +/- 1:24h | 56km</v>
      </c>
    </row>
    <row r="10" spans="1:19" x14ac:dyDescent="0.3">
      <c r="A10" s="16" t="s">
        <v>161</v>
      </c>
      <c r="B10" s="17" t="s">
        <v>55</v>
      </c>
      <c r="C10" s="18">
        <v>0.34375</v>
      </c>
      <c r="D10" s="17">
        <v>330</v>
      </c>
      <c r="E10" s="19">
        <f t="shared" si="0"/>
        <v>2310</v>
      </c>
      <c r="F10" s="20">
        <v>0</v>
      </c>
      <c r="G10" s="17" t="s">
        <v>114</v>
      </c>
      <c r="H10" s="21">
        <v>45965</v>
      </c>
      <c r="I10" s="22">
        <v>45965</v>
      </c>
      <c r="J10" s="23" t="s">
        <v>115</v>
      </c>
      <c r="K10" s="17" t="s">
        <v>116</v>
      </c>
      <c r="L10" s="17" t="s">
        <v>18</v>
      </c>
      <c r="M10" s="17" t="s">
        <v>6</v>
      </c>
      <c r="N10" s="16" t="s">
        <v>34</v>
      </c>
      <c r="O10" s="23" t="s">
        <v>27</v>
      </c>
      <c r="P10" s="25" t="s">
        <v>117</v>
      </c>
      <c r="Q10" s="23" t="s">
        <v>158</v>
      </c>
      <c r="R10" s="2" t="str">
        <f t="shared" si="1"/>
        <v>4025</v>
      </c>
      <c r="S10" s="2" t="str" cm="1">
        <f t="array" ref="S10">_xlfn.LET(
  _xlpm.ch, TRIM(SUBSTITUTE(G10,CHAR(160),"")),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TRIM(SUBSTITUTE(R10,CHAR(160),"")),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IF(L10="CLIENTE", O10, IF(LEFT(L10,4)="http", L10, "MACPONTA AGRO DE "&amp;L10)),
  _xlpm.paraBase, IF(M10="CLIENTE", P10, M10),
  _xlpm.paraTxt, IF(LEFT(_xlpm.paraBase,4)="http", _xlpm.paraBase, "MACPONTA AGRO DE "&amp;_xlpm.paraBase),
  _xlpm.nfParte, IF(LEN(TRIM(I10))=0, "", " -NF "&amp;TRIM(I10)),
  "- " &amp; _xlpm.tipotxt &amp; ": *" &amp; G10 &amp; "*" &amp; CHAR(13)&amp;CHAR(10) &amp;
  "- " &amp; _xlpm.dimtxt &amp; CHAR(13)&amp;CHAR(10) &amp;
  "- *Cliente*: " &amp; J10 &amp; _xlpm.nfParte &amp; CHAR(13)&amp;CHAR(10) &amp;
  "- *Obs:* " &amp; Q10 &amp; CHAR(13)&amp;CHAR(10) &amp; CHAR(10) &amp;
  "- *De*: " &amp; _xlpm.deTxt &amp; CHAR(13)&amp;CHAR(10) &amp;
  "- *Para*: " &amp; _xlpm.paraTxt &amp; CHAR(13)&amp;CHAR(10) &amp;
  "- *Ida e volta*: +/- " &amp; TEXT(((D10*1.5)/1440),"h:mm") &amp; "h | " &amp; D10 &amp; "km"
)</f>
        <v>- PULVERIZADOR: *1NW4025MVKF190132*_x000D_
- A:3,34 x C:7,00 x L:2,72-3,30 x P:9.703kg_x000D_
- *Cliente*: MARLON BONILHA -NF61707 -NF 45965_x000D_
- *Obs:* Contato CEN Alison 43.98409-2094_x000D_
- *De*: MACPONTA AGRO DE PONTA GROSSA_x000D_
- *Para*: MACPONTA AGRO DE Fazenda Irmãos II   - Cidade Tomazina - PR_x000D_
- *Ida e volta*: +/- 8:15h | 330km</v>
      </c>
    </row>
    <row r="11" spans="1:19" x14ac:dyDescent="0.3">
      <c r="A11" s="16" t="s">
        <v>161</v>
      </c>
      <c r="B11" s="17" t="s">
        <v>93</v>
      </c>
      <c r="C11" s="18">
        <v>0.19236111111111112</v>
      </c>
      <c r="D11" s="17">
        <v>185</v>
      </c>
      <c r="E11" s="19">
        <f t="shared" si="0"/>
        <v>1295</v>
      </c>
      <c r="F11" s="20">
        <v>1985</v>
      </c>
      <c r="G11" s="17" t="s">
        <v>118</v>
      </c>
      <c r="H11" s="21">
        <v>45965</v>
      </c>
      <c r="I11" s="22">
        <v>45965</v>
      </c>
      <c r="J11" s="23" t="s">
        <v>62</v>
      </c>
      <c r="K11" s="17" t="s">
        <v>119</v>
      </c>
      <c r="L11" s="17" t="s">
        <v>6</v>
      </c>
      <c r="M11" s="17" t="s">
        <v>16</v>
      </c>
      <c r="N11" s="16" t="s">
        <v>59</v>
      </c>
      <c r="O11" s="24" t="s">
        <v>157</v>
      </c>
      <c r="P11" s="25" t="s">
        <v>27</v>
      </c>
      <c r="Q11" s="23" t="s">
        <v>120</v>
      </c>
      <c r="R11" s="2" t="str">
        <f t="shared" si="1"/>
        <v>5060E</v>
      </c>
      <c r="S11" s="2" t="str" cm="1">
        <f t="array" ref="S11">_xlfn.LET(
  _xlpm.ch, TRIM(SUBSTITUTE(G11,CHAR(160),"")),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TRIM(SUBSTITUTE(R11,CHAR(160),"")),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IF(L11="CLIENTE", O11, IF(LEFT(L11,4)="http", L11, "MACPONTA AGRO DE "&amp;L11)),
  _xlpm.paraBase, IF(M11="CLIENTE", P11, M11),
  _xlpm.paraTxt, IF(LEFT(_xlpm.paraBase,4)="http", _xlpm.paraBase, "MACPONTA AGRO DE "&amp;_xlpm.paraBase),
  _xlpm.nfParte, IF(LEN(TRIM(I11))=0, "", " -NF "&amp;TRIM(I11)),
  "- " &amp; _xlpm.tipotxt &amp; ": *" &amp; G11 &amp; "*" &amp; CHAR(13)&amp;CHAR(10) &amp;
  "- " &amp; _xlpm.dimtxt &amp; CHAR(13)&amp;CHAR(10) &amp;
  "- *Cliente*: " &amp; J11 &amp; _xlpm.nfParte &amp; CHAR(13)&amp;CHAR(10) &amp;
  "- *Obs:* " &amp; Q11 &amp; CHAR(13)&amp;CHAR(10) &amp; CHAR(10) &amp;
  "- *De*: " &amp; _xlpm.deTxt &amp; CHAR(13)&amp;CHAR(10) &amp;
  "- *Para*: " &amp; _xlpm.paraTxt &amp; CHAR(13)&amp;CHAR(10) &amp;
  "- *Ida e volta*: +/- " &amp; TEXT(((D11*1.5)/1440),"h:mm") &amp; "h | " &amp; D11 &amp; "km"
)</f>
        <v>- TRATOR: *1BM5060EAP4104558*_x000D_
- _x000D_
- *Cliente*: MANUTENÇÃO → CLIENTE -NF 45965_x000D_
- *Obs:* LUCIANO DE FREITAS - 43 99624-6946_x000D_
- *De*: https://maps.app.goo.gl/PXTmMqoYPtx48Gex6_x000D_
- *Para*: MACPONTA AGRO DE ARAPOTI_x000D_
- *Ida e volta*: +/- 4:37h | 185km</v>
      </c>
    </row>
    <row r="12" spans="1:19" x14ac:dyDescent="0.3">
      <c r="A12" s="16" t="s">
        <v>161</v>
      </c>
      <c r="B12" s="17" t="s">
        <v>30</v>
      </c>
      <c r="C12" s="18">
        <v>5.2777777777777778E-2</v>
      </c>
      <c r="D12" s="17">
        <v>51</v>
      </c>
      <c r="E12" s="19">
        <f t="shared" si="0"/>
        <v>357</v>
      </c>
      <c r="F12" s="20">
        <v>0</v>
      </c>
      <c r="G12" s="17" t="s">
        <v>106</v>
      </c>
      <c r="H12" s="21">
        <v>45966</v>
      </c>
      <c r="I12" s="22">
        <v>45967</v>
      </c>
      <c r="J12" s="23" t="s">
        <v>62</v>
      </c>
      <c r="K12" s="17" t="s">
        <v>73</v>
      </c>
      <c r="L12" s="17" t="s">
        <v>18</v>
      </c>
      <c r="M12" s="17" t="s">
        <v>6</v>
      </c>
      <c r="N12" s="16" t="s">
        <v>34</v>
      </c>
      <c r="O12" s="23" t="s">
        <v>27</v>
      </c>
      <c r="P12" s="25" t="s">
        <v>107</v>
      </c>
      <c r="Q12" s="23" t="s">
        <v>108</v>
      </c>
      <c r="R12" s="2" t="str">
        <f t="shared" si="1"/>
        <v>7215C</v>
      </c>
      <c r="S12" s="2" t="str" cm="1">
        <f t="array" ref="S12">_xlfn.LET(
  _xlpm.ch, TRIM(SUBSTITUTE(G12,CHAR(160),"")),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TRIM(SUBSTITUTE(R12,CHAR(160),"")),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IF(L12="CLIENTE", O12, IF(LEFT(L12,4)="http", L12, "MACPONTA AGRO DE "&amp;L12)),
  _xlpm.paraBase, IF(M12="CLIENTE", P12, M12),
  _xlpm.paraTxt, IF(LEFT(_xlpm.paraBase,4)="http", _xlpm.paraBase, "MACPONTA AGRO DE "&amp;_xlpm.paraBase),
  _xlpm.nfParte, IF(LEN(TRIM(I12))=0, "", " -NF "&amp;TRIM(I12)),
  "- " &amp; _xlpm.tipotxt &amp; ": *" &amp; G12 &amp; "*" &amp; CHAR(13)&amp;CHAR(10) &amp;
  "- " &amp; _xlpm.dimtxt &amp; CHAR(13)&amp;CHAR(10) &amp;
  "- *Cliente*: " &amp; J12 &amp; _xlpm.nfParte &amp; CHAR(13)&amp;CHAR(10) &amp;
  "- *Obs:* " &amp; Q12 &amp; CHAR(13)&amp;CHAR(10) &amp; CHAR(10) &amp;
  "- *De*: " &amp; _xlpm.deTxt &amp; CHAR(13)&amp;CHAR(10) &amp;
  "- *Para*: " &amp; _xlpm.paraTxt &amp; CHAR(13)&amp;CHAR(10) &amp;
  "- *Ida e volta*: +/- " &amp; TEXT(((D12*1.5)/1440),"h:mm") &amp; "h | " &amp; D12 &amp; "km"
)</f>
        <v>- TRATOR: *1BM7215CVR3000057*_x000D_
- _x000D_
- *Cliente*: MANUTENÇÃO → CLIENTE -NF 45967_x000D_
- *Obs:* GABRIEL - 42 -99972-7464_x000D_
- *De*: MACPONTA AGRO DE PONTA GROSSA_x000D_
- *Para*: https://maps.app.goo.gl/pQZUg9LPg5sgdyLs8_x000D_
- *Ida e volta*: +/- 1:16h | 51km</v>
      </c>
    </row>
    <row r="13" spans="1:19" x14ac:dyDescent="0.3">
      <c r="A13" s="16" t="s">
        <v>161</v>
      </c>
      <c r="B13" s="17" t="s">
        <v>55</v>
      </c>
      <c r="C13" s="18">
        <v>2.2916666666666665E-2</v>
      </c>
      <c r="D13" s="17">
        <v>22</v>
      </c>
      <c r="E13" s="19">
        <f t="shared" si="0"/>
        <v>154</v>
      </c>
      <c r="F13" s="20">
        <v>0</v>
      </c>
      <c r="G13" s="17" t="s">
        <v>102</v>
      </c>
      <c r="H13" s="21">
        <v>45966</v>
      </c>
      <c r="I13" s="22">
        <v>45967</v>
      </c>
      <c r="J13" s="23" t="s">
        <v>62</v>
      </c>
      <c r="K13" s="17" t="s">
        <v>103</v>
      </c>
      <c r="L13" s="17" t="s">
        <v>18</v>
      </c>
      <c r="M13" s="17" t="s">
        <v>6</v>
      </c>
      <c r="N13" s="16" t="s">
        <v>34</v>
      </c>
      <c r="O13" s="23" t="s">
        <v>27</v>
      </c>
      <c r="P13" s="25" t="s">
        <v>104</v>
      </c>
      <c r="Q13" s="23" t="s">
        <v>105</v>
      </c>
      <c r="R13" s="2" t="str">
        <f t="shared" si="1"/>
        <v>6110</v>
      </c>
      <c r="S13" s="2" t="str" cm="1">
        <f t="array" ref="S13">_xlfn.LET(
  _xlpm.ch, TRIM(SUBSTITUTE(G13,CHAR(160),"")),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TRIM(SUBSTITUTE(R13,CHAR(160),"")),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IF(L13="CLIENTE", O13, IF(LEFT(L13,4)="http", L13, "MACPONTA AGRO DE "&amp;L13)),
  _xlpm.paraBase, IF(M13="CLIENTE", P13, M13),
  _xlpm.paraTxt, IF(LEFT(_xlpm.paraBase,4)="http", _xlpm.paraBase, "MACPONTA AGRO DE "&amp;_xlpm.paraBase),
  _xlpm.nfParte, IF(LEN(TRIM(I13))=0, "", " -NF "&amp;TRIM(I13)),
  "- " &amp; _xlpm.tipotxt &amp; ": *" &amp; G13 &amp; "*" &amp; CHAR(13)&amp;CHAR(10) &amp;
  "- " &amp; _xlpm.dimtxt &amp; CHAR(13)&amp;CHAR(10) &amp;
  "- *Cliente*: " &amp; J13 &amp; _xlpm.nfParte &amp; CHAR(13)&amp;CHAR(10) &amp;
  "- *Obs:* " &amp; Q13 &amp; CHAR(13)&amp;CHAR(10) &amp; CHAR(10) &amp;
  "- *De*: " &amp; _xlpm.deTxt &amp; CHAR(13)&amp;CHAR(10) &amp;
  "- *Para*: " &amp; _xlpm.paraTxt &amp; CHAR(13)&amp;CHAR(10) &amp;
  "- *Ida e volta*: +/- " &amp; TEXT(((D13*1.5)/1440),"h:mm") &amp; "h | " &amp; D13 &amp; "km"
)</f>
        <v>- : *1P06110DABA021136*_x000D_
- _x000D_
- *Cliente*: MANUTENÇÃO → CLIENTE -NF 45967_x000D_
- *Obs:* JUNIOR +55 42 8866-3271_x000D_
- *De*: MACPONTA AGRO DE PONTA GROSSA_x000D_
- *Para*: https://maps.app.goo.gl/zzmzdRt4m8WXMVjg9_x000D_
- *Ida e volta*: +/- 0:33h | 22km</v>
      </c>
    </row>
    <row r="14" spans="1:19" x14ac:dyDescent="0.3">
      <c r="A14" s="16" t="s">
        <v>161</v>
      </c>
      <c r="B14" s="17" t="s">
        <v>77</v>
      </c>
      <c r="C14" s="18">
        <v>0.16666666666666666</v>
      </c>
      <c r="D14" s="17">
        <v>160</v>
      </c>
      <c r="E14" s="19">
        <f t="shared" si="0"/>
        <v>1120</v>
      </c>
      <c r="F14" s="20">
        <v>1458</v>
      </c>
      <c r="G14" s="17" t="s">
        <v>98</v>
      </c>
      <c r="H14" s="21">
        <v>45966</v>
      </c>
      <c r="I14" s="22">
        <v>45966</v>
      </c>
      <c r="J14" s="23" t="s">
        <v>99</v>
      </c>
      <c r="K14" s="17" t="s">
        <v>46</v>
      </c>
      <c r="L14" s="17" t="s">
        <v>19</v>
      </c>
      <c r="M14" s="17" t="s">
        <v>6</v>
      </c>
      <c r="N14" s="16" t="s">
        <v>34</v>
      </c>
      <c r="O14" s="23" t="s">
        <v>27</v>
      </c>
      <c r="P14" s="25" t="s">
        <v>100</v>
      </c>
      <c r="Q14" s="23" t="s">
        <v>101</v>
      </c>
      <c r="R14" s="2" t="str">
        <f t="shared" si="1"/>
        <v>6135M</v>
      </c>
      <c r="S14" s="2" t="str" cm="1">
        <f t="array" ref="S14">_xlfn.LET(
  _xlpm.ch, TRIM(SUBSTITUTE(G14,CHAR(160),"")),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TRIM(SUBSTITUTE(R14,CHAR(160),"")),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IF(L14="CLIENTE", O14, IF(LEFT(L14,4)="http", L14, "MACPONTA AGRO DE "&amp;L14)),
  _xlpm.paraBase, IF(M14="CLIENTE", P14, M14),
  _xlpm.paraTxt, IF(LEFT(_xlpm.paraBase,4)="http", _xlpm.paraBase, "MACPONTA AGRO DE "&amp;_xlpm.paraBase),
  _xlpm.nfParte, IF(LEN(TRIM(I14))=0, "", " -NF "&amp;TRIM(I14)),
  "- " &amp; _xlpm.tipotxt &amp; ": *" &amp; G14 &amp; "*" &amp; CHAR(13)&amp;CHAR(10) &amp;
  "- " &amp; _xlpm.dimtxt &amp; CHAR(13)&amp;CHAR(10) &amp;
  "- *Cliente*: " &amp; J14 &amp; _xlpm.nfParte &amp; CHAR(13)&amp;CHAR(10) &amp;
  "- *Obs:* " &amp; Q14 &amp; CHAR(13)&amp;CHAR(10) &amp; CHAR(10) &amp;
  "- *De*: " &amp; _xlpm.deTxt &amp; CHAR(13)&amp;CHAR(10) &amp;
  "- *Para*: " &amp; _xlpm.paraTxt &amp; CHAR(13)&amp;CHAR(10) &amp;
  "- *Ida e volta*: +/- " &amp; TEXT(((D14*1.5)/1440),"h:mm") &amp; "h | " &amp; D14 &amp; "km"
)</f>
        <v>- TRATOR: *1BM6135MASH000623*_x000D_
- _x000D_
- *Cliente*: VLADEMIR STORTI -NF107917 -NF 45966_x000D_
- *Obs:* Vladmir_x000D_
- *De*: MACPONTA AGRO DE GUARAPUAVA_x000D_
- *Para*: https://maps.app.goo.gl/giUyNXP6omVdANbb6_x000D_
- *Ida e volta*: +/- 4:00h | 160km</v>
      </c>
    </row>
    <row r="15" spans="1:19" x14ac:dyDescent="0.3">
      <c r="A15" s="16" t="s">
        <v>161</v>
      </c>
      <c r="B15" s="17" t="s">
        <v>93</v>
      </c>
      <c r="C15" s="18">
        <v>0.13541666666666666</v>
      </c>
      <c r="D15" s="17">
        <v>130</v>
      </c>
      <c r="E15" s="19">
        <f t="shared" si="0"/>
        <v>910</v>
      </c>
      <c r="F15" s="20">
        <v>975</v>
      </c>
      <c r="G15" s="17" t="s">
        <v>94</v>
      </c>
      <c r="H15" s="21">
        <v>45966</v>
      </c>
      <c r="I15" s="22">
        <v>45966</v>
      </c>
      <c r="J15" s="23" t="s">
        <v>95</v>
      </c>
      <c r="K15" s="17" t="s">
        <v>96</v>
      </c>
      <c r="L15" s="17" t="s">
        <v>16</v>
      </c>
      <c r="M15" s="17" t="s">
        <v>6</v>
      </c>
      <c r="N15" s="16" t="s">
        <v>34</v>
      </c>
      <c r="O15" s="23" t="s">
        <v>27</v>
      </c>
      <c r="P15" s="27" t="s">
        <v>156</v>
      </c>
      <c r="Q15" s="23" t="s">
        <v>97</v>
      </c>
      <c r="R15" s="2" t="str">
        <f t="shared" si="1"/>
        <v>5080E</v>
      </c>
      <c r="S15" s="2" t="str" cm="1">
        <f t="array" ref="S15">_xlfn.LET(
  _xlpm.ch, TRIM(SUBSTITUTE(G15,CHAR(160),"")),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TRIM(SUBSTITUTE(R15,CHAR(160),"")),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IF(L15="CLIENTE", O15, IF(LEFT(L15,4)="http", L15, "MACPONTA AGRO DE "&amp;L15)),
  _xlpm.paraBase, IF(M15="CLIENTE", P15, M15),
  _xlpm.paraTxt, IF(LEFT(_xlpm.paraBase,4)="http", _xlpm.paraBase, "MACPONTA AGRO DE "&amp;_xlpm.paraBase),
  _xlpm.nfParte, IF(LEN(TRIM(I15))=0, "", " -NF "&amp;TRIM(I15)),
  "- " &amp; _xlpm.tipotxt &amp; ": *" &amp; G15 &amp; "*" &amp; CHAR(13)&amp;CHAR(10) &amp;
  "- " &amp; _xlpm.dimtxt &amp; CHAR(13)&amp;CHAR(10) &amp;
  "- *Cliente*: " &amp; J15 &amp; _xlpm.nfParte &amp; CHAR(13)&amp;CHAR(10) &amp;
  "- *Obs:* " &amp; Q15 &amp; CHAR(13)&amp;CHAR(10) &amp; CHAR(10) &amp;
  "- *De*: " &amp; _xlpm.deTxt &amp; CHAR(13)&amp;CHAR(10) &amp;
  "- *Para*: " &amp; _xlpm.paraTxt &amp; CHAR(13)&amp;CHAR(10) &amp;
  "- *Ida e volta*: +/- " &amp; TEXT(((D15*1.5)/1440),"h:mm") &amp; "h | " &amp; D15 &amp; "km"
)</f>
        <v>- TRATOR: *1BM5080EKS4203735*_x000D_
- _x000D_
- *Cliente*: VERIDIANA POSS DE LIMA -NF61217 -NF 45966_x000D_
- *Obs:* Veridiana 043984053787 -CEN Alison Russi_x000D_
- *De*: MACPONTA AGRO DE ARAPOTI_x000D_
- *Para*: https://maps.app.goo.gl/oLpnxFw9huVdueSf7_x000D_
- *Ida e volta*: +/- 3:15h | 130km</v>
      </c>
    </row>
    <row r="16" spans="1:19" x14ac:dyDescent="0.3">
      <c r="A16" s="16" t="s">
        <v>163</v>
      </c>
      <c r="B16" s="17" t="s">
        <v>30</v>
      </c>
      <c r="C16" s="18">
        <v>0.15625</v>
      </c>
      <c r="D16" s="17">
        <v>150</v>
      </c>
      <c r="E16" s="19">
        <f t="shared" si="0"/>
        <v>1050</v>
      </c>
      <c r="F16" s="20">
        <v>0</v>
      </c>
      <c r="G16" s="17" t="s">
        <v>38</v>
      </c>
      <c r="H16" s="21">
        <v>45966</v>
      </c>
      <c r="I16" s="22">
        <v>45966</v>
      </c>
      <c r="J16" s="23" t="s">
        <v>109</v>
      </c>
      <c r="K16" s="17" t="s">
        <v>33</v>
      </c>
      <c r="L16" s="17" t="s">
        <v>18</v>
      </c>
      <c r="M16" s="17" t="s">
        <v>6</v>
      </c>
      <c r="N16" s="16" t="s">
        <v>34</v>
      </c>
      <c r="O16" s="23" t="s">
        <v>27</v>
      </c>
      <c r="P16" s="25" t="s">
        <v>40</v>
      </c>
      <c r="Q16" s="23" t="s">
        <v>41</v>
      </c>
      <c r="R16" s="2" t="str">
        <f t="shared" si="1"/>
        <v>S550</v>
      </c>
      <c r="S16" s="2" t="str" cm="1">
        <f t="array" ref="S16">_xlfn.LET(
  _xlpm.ch, TRIM(SUBSTITUTE(G16,CHAR(160),"")),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TRIM(SUBSTITUTE(R16,CHAR(160),"")),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IF(L16="CLIENTE", O16, IF(LEFT(L16,4)="http", L16, "MACPONTA AGRO DE "&amp;L16)),
  _xlpm.paraBase, IF(M16="CLIENTE", P16, M16),
  _xlpm.paraTxt, IF(LEFT(_xlpm.paraBase,4)="http", _xlpm.paraBase, "MACPONTA AGRO DE "&amp;_xlpm.paraBase),
  _xlpm.nfParte, IF(LEN(TRIM(I16))=0, "", " -NF "&amp;TRIM(I16)),
  "- " &amp; _xlpm.tipotxt &amp; ": *" &amp; G16 &amp; "*" &amp; CHAR(13)&amp;CHAR(10) &amp;
  "- " &amp; _xlpm.dimtxt &amp; CHAR(13)&amp;CHAR(10) &amp;
  "- *Cliente*: " &amp; J16 &amp; _xlpm.nfParte &amp; CHAR(13)&amp;CHAR(10) &amp;
  "- *Obs:* " &amp; Q16 &amp; CHAR(13)&amp;CHAR(10) &amp; CHAR(10) &amp;
  "- *De*: " &amp; _xlpm.deTxt &amp; CHAR(13)&amp;CHAR(10) &amp;
  "- *Para*: " &amp; _xlpm.paraTxt &amp; CHAR(13)&amp;CHAR(10) &amp;
  "- *Ida e volta*: +/- " &amp; TEXT(((D16*1.5)/1440),"h:mm") &amp; "h | " &amp; D16 &amp; "km"
)</f>
        <v>- COLHEITADEIRA: *1CQS550AER0155105*_x000D_
- A:3,80 x C:10,00 x L:3,70-4,20 x P:15.938kg_x000D_
- *Cliente*: MARCELO RIBEIRO DE NARDI -NF278794 -NF 45966_x000D_
- *Obs:* DANILO - MARCELO _x000D_
- *De*: MACPONTA AGRO DE PONTA GROSSA_x000D_
- *Para*: https://maps.app.goo.gl/2DJawZBMR4yqycss9_x000D_
- *Ida e volta*: +/- 3:45h | 150km</v>
      </c>
    </row>
    <row r="17" spans="1:19" x14ac:dyDescent="0.3">
      <c r="A17" s="16" t="s">
        <v>163</v>
      </c>
      <c r="B17" s="17" t="s">
        <v>30</v>
      </c>
      <c r="C17" s="18">
        <v>0.15625</v>
      </c>
      <c r="D17" s="17">
        <v>150</v>
      </c>
      <c r="E17" s="19">
        <f t="shared" si="0"/>
        <v>1050</v>
      </c>
      <c r="F17" s="20">
        <v>0</v>
      </c>
      <c r="G17" s="17" t="s">
        <v>42</v>
      </c>
      <c r="H17" s="21">
        <v>45966</v>
      </c>
      <c r="I17" s="22">
        <v>45966</v>
      </c>
      <c r="J17" s="23" t="s">
        <v>109</v>
      </c>
      <c r="K17" s="17" t="s">
        <v>33</v>
      </c>
      <c r="L17" s="17" t="s">
        <v>18</v>
      </c>
      <c r="M17" s="17" t="s">
        <v>6</v>
      </c>
      <c r="N17" s="16" t="s">
        <v>34</v>
      </c>
      <c r="O17" s="23" t="s">
        <v>27</v>
      </c>
      <c r="P17" s="25" t="s">
        <v>40</v>
      </c>
      <c r="Q17" s="23" t="s">
        <v>41</v>
      </c>
      <c r="R17" s="2" t="str">
        <f t="shared" si="1"/>
        <v>0630</v>
      </c>
      <c r="S17" s="2" t="str" cm="1">
        <f t="array" ref="S17">_xlfn.LET(
  _xlpm.ch, TRIM(SUBSTITUTE(G17,CHAR(160),"")),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TRIM(SUBSTITUTE(R17,CHAR(160),"")),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IF(L17="CLIENTE", O17, IF(LEFT(L17,4)="http", L17, "MACPONTA AGRO DE "&amp;L17)),
  _xlpm.paraBase, IF(M17="CLIENTE", P17, M17),
  _xlpm.paraTxt, IF(LEFT(_xlpm.paraBase,4)="http", _xlpm.paraBase, "MACPONTA AGRO DE "&amp;_xlpm.paraBase),
  _xlpm.nfParte, IF(LEN(TRIM(I17))=0, "", " -NF "&amp;TRIM(I17)),
  "- " &amp; _xlpm.tipotxt &amp; ": *" &amp; G17 &amp; "*" &amp; CHAR(13)&amp;CHAR(10) &amp;
  "- " &amp; _xlpm.dimtxt &amp; CHAR(13)&amp;CHAR(10) &amp;
  "- *Cliente*: " &amp; J17 &amp; _xlpm.nfParte &amp; CHAR(13)&amp;CHAR(10) &amp;
  "- *Obs:* " &amp; Q17 &amp; CHAR(13)&amp;CHAR(10) &amp; CHAR(10) &amp;
  "- *De*: " &amp; _xlpm.deTxt &amp; CHAR(13)&amp;CHAR(10) &amp;
  "- *Para*: " &amp; _xlpm.paraTxt &amp; CHAR(13)&amp;CHAR(10) &amp;
  "- *Ida e volta*: +/- " &amp; TEXT(((D17*1.5)/1440),"h:mm") &amp; "h | " &amp; D17 &amp; "km"
)</f>
        <v>- PLATAFORMA: *1CQ0630AHR0155127*_x000D_
- A:1,60 x C:9,14 x L:1,80-1,80 x P:2.871kg_x000D_
- *Cliente*: MARCELO RIBEIRO DE NARDI -NF278794 -NF 45966_x000D_
- *Obs:* DANILO - MARCELO _x000D_
- *De*: MACPONTA AGRO DE PONTA GROSSA_x000D_
- *Para*: https://maps.app.goo.gl/2DJawZBMR4yqycss9_x000D_
- *Ida e volta*: +/- 3:45h | 150km</v>
      </c>
    </row>
    <row r="18" spans="1:19" x14ac:dyDescent="0.3">
      <c r="A18" s="16" t="s">
        <v>161</v>
      </c>
      <c r="B18" s="17" t="s">
        <v>55</v>
      </c>
      <c r="C18" s="18">
        <v>0.25486111111111109</v>
      </c>
      <c r="D18" s="17">
        <v>245</v>
      </c>
      <c r="E18" s="19">
        <f t="shared" si="0"/>
        <v>1715</v>
      </c>
      <c r="F18" s="20">
        <v>0</v>
      </c>
      <c r="G18" s="17" t="s">
        <v>89</v>
      </c>
      <c r="H18" s="21">
        <v>45967</v>
      </c>
      <c r="I18" s="22">
        <v>45967</v>
      </c>
      <c r="J18" s="23" t="s">
        <v>90</v>
      </c>
      <c r="K18" s="17" t="s">
        <v>91</v>
      </c>
      <c r="L18" s="17" t="s">
        <v>21</v>
      </c>
      <c r="M18" s="17" t="s">
        <v>6</v>
      </c>
      <c r="N18" s="16" t="s">
        <v>34</v>
      </c>
      <c r="O18" s="23" t="s">
        <v>27</v>
      </c>
      <c r="P18" s="27" t="s">
        <v>149</v>
      </c>
      <c r="Q18" s="23" t="s">
        <v>92</v>
      </c>
      <c r="R18" s="2" t="str">
        <f t="shared" si="1"/>
        <v>6135M</v>
      </c>
      <c r="S18" s="2" t="str" cm="1">
        <f t="array" ref="S18">_xlfn.LET(
  _xlpm.ch, TRIM(SUBSTITUTE(G18,CHAR(160),"")),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TRIM(SUBSTITUTE(R18,CHAR(160),"")),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IF(L18="CLIENTE", O18, IF(LEFT(L18,4)="http", L18, "MACPONTA AGRO DE "&amp;L18)),
  _xlpm.paraBase, IF(M18="CLIENTE", P18, M18),
  _xlpm.paraTxt, IF(LEFT(_xlpm.paraBase,4)="http", _xlpm.paraBase, "MACPONTA AGRO DE "&amp;_xlpm.paraBase),
  _xlpm.nfParte, IF(LEN(TRIM(I18))=0, "", " -NF "&amp;TRIM(I18)),
  "- " &amp; _xlpm.tipotxt &amp; ": *" &amp; G18 &amp; "*" &amp; CHAR(13)&amp;CHAR(10) &amp;
  "- " &amp; _xlpm.dimtxt &amp; CHAR(13)&amp;CHAR(10) &amp;
  "- *Cliente*: " &amp; J18 &amp; _xlpm.nfParte &amp; CHAR(13)&amp;CHAR(10) &amp;
  "- *Obs:* " &amp; Q18 &amp; CHAR(13)&amp;CHAR(10) &amp; CHAR(10) &amp;
  "- *De*: " &amp; _xlpm.deTxt &amp; CHAR(13)&amp;CHAR(10) &amp;
  "- *Para*: " &amp; _xlpm.paraTxt &amp; CHAR(13)&amp;CHAR(10) &amp;
  "- *Ida e volta*: +/- " &amp; TEXT(((D18*1.5)/1440),"h:mm") &amp; "h | " &amp; D18 &amp; "km"
)</f>
        <v>- TRATOR: *1BM6135MCSH000563*_x000D_
- _x000D_
- *Cliente*: WILLEM HENDRIK VAN DE RIET -NF109953 -NF 45967_x000D_
- *Obs:* (42)999730047 Willen _x000D_
- *De*: MACPONTA AGRO DE IRATI_x000D_
- *Para*: https://maps.app.goo.gl/B5W3gFAkVjKrxcms8_x000D_
- *Ida e volta*: +/- 6:07h | 245km</v>
      </c>
    </row>
    <row r="19" spans="1:19" x14ac:dyDescent="0.3">
      <c r="A19" s="16" t="s">
        <v>161</v>
      </c>
      <c r="B19" s="17" t="s">
        <v>30</v>
      </c>
      <c r="C19" s="18">
        <v>0.18194444444444444</v>
      </c>
      <c r="D19" s="17">
        <v>175</v>
      </c>
      <c r="E19" s="19">
        <f t="shared" si="0"/>
        <v>1225</v>
      </c>
      <c r="F19" s="20">
        <v>0</v>
      </c>
      <c r="G19" s="17" t="s">
        <v>82</v>
      </c>
      <c r="H19" s="21">
        <v>45968</v>
      </c>
      <c r="I19" s="22">
        <v>45968</v>
      </c>
      <c r="J19" s="23" t="s">
        <v>62</v>
      </c>
      <c r="K19" s="17" t="s">
        <v>83</v>
      </c>
      <c r="L19" s="17" t="s">
        <v>18</v>
      </c>
      <c r="M19" s="17" t="s">
        <v>6</v>
      </c>
      <c r="N19" s="16" t="s">
        <v>34</v>
      </c>
      <c r="O19" s="23" t="s">
        <v>27</v>
      </c>
      <c r="P19" s="27" t="s">
        <v>146</v>
      </c>
      <c r="Q19" s="23" t="s">
        <v>84</v>
      </c>
      <c r="R19" s="2" t="str">
        <f t="shared" si="1"/>
        <v>6180J</v>
      </c>
      <c r="S19" s="2" t="str" cm="1">
        <f t="array" ref="S19">_xlfn.LET(
  _xlpm.ch, TRIM(SUBSTITUTE(G19,CHAR(160),"")),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TRIM(SUBSTITUTE(R19,CHAR(160),"")),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IF(L19="CLIENTE", O19, IF(LEFT(L19,4)="http", L19, "MACPONTA AGRO DE "&amp;L19)),
  _xlpm.paraBase, IF(M19="CLIENTE", P19, M19),
  _xlpm.paraTxt, IF(LEFT(_xlpm.paraBase,4)="http", _xlpm.paraBase, "MACPONTA AGRO DE "&amp;_xlpm.paraBase),
  _xlpm.nfParte, IF(LEN(TRIM(I19))=0, "", " -NF "&amp;TRIM(I19)),
  "- " &amp; _xlpm.tipotxt &amp; ": *" &amp; G19 &amp; "*" &amp; CHAR(13)&amp;CHAR(10) &amp;
  "- " &amp; _xlpm.dimtxt &amp; CHAR(13)&amp;CHAR(10) &amp;
  "- *Cliente*: " &amp; J19 &amp; _xlpm.nfParte &amp; CHAR(13)&amp;CHAR(10) &amp;
  "- *Obs:* " &amp; Q19 &amp; CHAR(13)&amp;CHAR(10) &amp; CHAR(10) &amp;
  "- *De*: " &amp; _xlpm.deTxt &amp; CHAR(13)&amp;CHAR(10) &amp;
  "- *Para*: " &amp; _xlpm.paraTxt &amp; CHAR(13)&amp;CHAR(10) &amp;
  "- *Ida e volta*: +/- " &amp; TEXT(((D19*1.5)/1440),"h:mm") &amp; "h | " &amp; D19 &amp; "km"
)</f>
        <v>- TRATOR: *1BM6180JKDD001849*_x000D_
- _x000D_
- *Cliente*: MANUTENÇÃO → CLIENTE -NF 45968_x000D_
- *Obs:* Cassio_x000D_
- *De*: MACPONTA AGRO DE PONTA GROSSA_x000D_
- *Para*: https://maps.app.goo.gl/Yk2FrxveQ1BNpLmN8_x000D_
- *Ida e volta*: +/- 4:22h | 175km</v>
      </c>
    </row>
    <row r="20" spans="1:19" x14ac:dyDescent="0.3">
      <c r="A20" s="16" t="s">
        <v>161</v>
      </c>
      <c r="B20" s="17" t="s">
        <v>30</v>
      </c>
      <c r="C20" s="18">
        <v>0.18194444444444444</v>
      </c>
      <c r="D20" s="17">
        <v>175</v>
      </c>
      <c r="E20" s="19">
        <f t="shared" si="0"/>
        <v>1225</v>
      </c>
      <c r="F20" s="20">
        <v>0</v>
      </c>
      <c r="G20" s="17" t="s">
        <v>85</v>
      </c>
      <c r="H20" s="21">
        <v>45968</v>
      </c>
      <c r="I20" s="22">
        <v>45969</v>
      </c>
      <c r="J20" s="23" t="s">
        <v>86</v>
      </c>
      <c r="K20" s="17" t="s">
        <v>73</v>
      </c>
      <c r="L20" s="17" t="s">
        <v>18</v>
      </c>
      <c r="M20" s="17" t="s">
        <v>6</v>
      </c>
      <c r="N20" s="16" t="s">
        <v>34</v>
      </c>
      <c r="O20" s="23" t="s">
        <v>27</v>
      </c>
      <c r="P20" s="25" t="s">
        <v>87</v>
      </c>
      <c r="Q20" s="23" t="s">
        <v>88</v>
      </c>
      <c r="R20" s="2" t="str">
        <f t="shared" si="1"/>
        <v>S680</v>
      </c>
      <c r="S20" s="2" t="str" cm="1">
        <f t="array" ref="S20">_xlfn.LET(
  _xlpm.ch, TRIM(SUBSTITUTE(G20,CHAR(160),"")),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TRIM(SUBSTITUTE(R20,CHAR(160),"")),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IF(L20="CLIENTE", O20, IF(LEFT(L20,4)="http", L20, "MACPONTA AGRO DE "&amp;L20)),
  _xlpm.paraBase, IF(M20="CLIENTE", P20, M20),
  _xlpm.paraTxt, IF(LEFT(_xlpm.paraBase,4)="http", _xlpm.paraBase, "MACPONTA AGRO DE "&amp;_xlpm.paraBase),
  _xlpm.nfParte, IF(LEN(TRIM(I20))=0, "", " -NF "&amp;TRIM(I20)),
  "- " &amp; _xlpm.tipotxt &amp; ": *" &amp; G20 &amp; "*" &amp; CHAR(13)&amp;CHAR(10) &amp;
  "- " &amp; _xlpm.dimtxt &amp; CHAR(13)&amp;CHAR(10) &amp;
  "- *Cliente*: " &amp; J20 &amp; _xlpm.nfParte &amp; CHAR(13)&amp;CHAR(10) &amp;
  "- *Obs:* " &amp; Q20 &amp; CHAR(13)&amp;CHAR(10) &amp; CHAR(10) &amp;
  "- *De*: " &amp; _xlpm.deTxt &amp; CHAR(13)&amp;CHAR(10) &amp;
  "- *Para*: " &amp; _xlpm.paraTxt &amp; CHAR(13)&amp;CHAR(10) &amp;
  "- *Ida e volta*: +/- " &amp; TEXT(((D20*1.5)/1440),"h:mm") &amp; "h | " &amp; D20 &amp; "km"
)</f>
        <v>- COLHEITADEIRA: *1CQS680ATF0110209*_x000D_
- A:3,98 x C:12,10 x L:3,50-5,43 x P:21.921kg_x000D_
- *Cliente*: DOUGLAS FANCHIN TAQUES FONSECA -NF278835 -NF 45969_x000D_
- *Obs:* VALTINHO 42-99920-3056_x000D_
- *De*: MACPONTA AGRO DE PONTA GROSSA_x000D_
- *Para*: https://maps.app.goo.gl/GfTKV558G2iXHWmg8_x000D_
- *Ida e volta*: +/- 4:22h | 175km</v>
      </c>
    </row>
    <row r="21" spans="1:19" x14ac:dyDescent="0.3">
      <c r="A21" s="16" t="s">
        <v>161</v>
      </c>
      <c r="B21" s="17" t="s">
        <v>77</v>
      </c>
      <c r="C21" s="18">
        <v>0.34375</v>
      </c>
      <c r="D21" s="17">
        <v>330</v>
      </c>
      <c r="E21" s="19">
        <f t="shared" si="0"/>
        <v>2310</v>
      </c>
      <c r="F21" s="20"/>
      <c r="G21" s="17" t="s">
        <v>78</v>
      </c>
      <c r="H21" s="21">
        <v>45968</v>
      </c>
      <c r="I21" s="22">
        <v>45968</v>
      </c>
      <c r="J21" s="23" t="s">
        <v>79</v>
      </c>
      <c r="K21" s="17" t="s">
        <v>46</v>
      </c>
      <c r="L21" s="17" t="s">
        <v>19</v>
      </c>
      <c r="M21" s="17" t="s">
        <v>6</v>
      </c>
      <c r="N21" s="16" t="s">
        <v>34</v>
      </c>
      <c r="O21" s="23" t="s">
        <v>27</v>
      </c>
      <c r="P21" s="25" t="s">
        <v>80</v>
      </c>
      <c r="Q21" s="23" t="s">
        <v>81</v>
      </c>
      <c r="R21" s="2" t="str">
        <f t="shared" si="1"/>
        <v>6100J</v>
      </c>
      <c r="S21" s="2" t="str" cm="1">
        <f t="array" ref="S21">_xlfn.LET(
  _xlpm.ch, TRIM(SUBSTITUTE(G21,CHAR(160),"")),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TRIM(SUBSTITUTE(R21,CHAR(160),"")),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IF(L21="CLIENTE", O21, IF(LEFT(L21,4)="http", L21, "MACPONTA AGRO DE "&amp;L21)),
  _xlpm.paraBase, IF(M21="CLIENTE", P21, M21),
  _xlpm.paraTxt, IF(LEFT(_xlpm.paraBase,4)="http", _xlpm.paraBase, "MACPONTA AGRO DE "&amp;_xlpm.paraBase),
  _xlpm.nfParte, IF(LEN(TRIM(I21))=0, "", " -NF "&amp;TRIM(I21)),
  "- " &amp; _xlpm.tipotxt &amp; ": *" &amp; G21 &amp; "*" &amp; CHAR(13)&amp;CHAR(10) &amp;
  "- " &amp; _xlpm.dimtxt &amp; CHAR(13)&amp;CHAR(10) &amp;
  "- *Cliente*: " &amp; J21 &amp; _xlpm.nfParte &amp; CHAR(13)&amp;CHAR(10) &amp;
  "- *Obs:* " &amp; Q21 &amp; CHAR(13)&amp;CHAR(10) &amp; CHAR(10) &amp;
  "- *De*: " &amp; _xlpm.deTxt &amp; CHAR(13)&amp;CHAR(10) &amp;
  "- *Para*: " &amp; _xlpm.paraTxt &amp; CHAR(13)&amp;CHAR(10) &amp;
  "- *Ida e volta*: +/- " &amp; TEXT(((D21*1.5)/1440),"h:mm") &amp; "h | " &amp; D21 &amp; "km"
)</f>
        <v>- TRATOR: *1BM6100JVSD602522*_x000D_
- _x000D_
- *Cliente*: ADILSON KRASSOSKI -NF11620  -NF 45968_x000D_
- *Obs:* Adilson_x000D_
- *De*: MACPONTA AGRO DE GUARAPUAVA_x000D_
- *Para*: https://maps.app.goo.gl/nUnfbBeivgDPDFmy6_x000D_
- *Ida e volta*: +/- 8:15h | 330km</v>
      </c>
    </row>
    <row r="22" spans="1:19" x14ac:dyDescent="0.3">
      <c r="A22" s="16" t="s">
        <v>161</v>
      </c>
      <c r="B22" s="17" t="s">
        <v>30</v>
      </c>
      <c r="C22" s="18">
        <v>0.33819444444444446</v>
      </c>
      <c r="D22" s="17">
        <v>325</v>
      </c>
      <c r="E22" s="19">
        <f t="shared" si="0"/>
        <v>2275</v>
      </c>
      <c r="F22" s="20">
        <v>0</v>
      </c>
      <c r="G22" s="17" t="s">
        <v>64</v>
      </c>
      <c r="H22" s="21">
        <v>45972</v>
      </c>
      <c r="I22" s="22">
        <v>45972</v>
      </c>
      <c r="J22" s="23" t="s">
        <v>65</v>
      </c>
      <c r="K22" s="17" t="s">
        <v>66</v>
      </c>
      <c r="L22" s="17" t="s">
        <v>21</v>
      </c>
      <c r="M22" s="17" t="s">
        <v>67</v>
      </c>
      <c r="N22" s="16" t="s">
        <v>68</v>
      </c>
      <c r="O22" s="23" t="s">
        <v>27</v>
      </c>
      <c r="P22" s="25" t="s">
        <v>27</v>
      </c>
      <c r="Q22" s="23" t="s">
        <v>159</v>
      </c>
      <c r="R22" s="2" t="str">
        <f t="shared" si="1"/>
        <v>C100</v>
      </c>
      <c r="S22" s="2" t="str" cm="1">
        <f t="array" ref="S22">_xlfn.LET(
  _xlpm.ch, TRIM(SUBSTITUTE(G22,CHAR(160),"")),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TRIM(SUBSTITUTE(R22,CHAR(160),"")),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IF(L22="CLIENTE", O22, IF(LEFT(L22,4)="http", L22, "MACPONTA AGRO DE "&amp;L22)),
  _xlpm.paraBase, IF(M22="CLIENTE", P22, M22),
  _xlpm.paraTxt, IF(LEFT(_xlpm.paraBase,4)="http", _xlpm.paraBase, "MACPONTA AGRO DE "&amp;_xlpm.paraBase),
  _xlpm.nfParte, IF(LEN(TRIM(I22))=0, "", " -NF "&amp;TRIM(I22)),
  "- " &amp; _xlpm.tipotxt &amp; ": *" &amp; G22 &amp; "*" &amp; CHAR(13)&amp;CHAR(10) &amp;
  "- " &amp; _xlpm.dimtxt &amp; CHAR(13)&amp;CHAR(10) &amp;
  "- *Cliente*: " &amp; J22 &amp; _xlpm.nfParte &amp; CHAR(13)&amp;CHAR(10) &amp;
  "- *Obs:* " &amp; Q22 &amp; CHAR(13)&amp;CHAR(10) &amp; CHAR(10) &amp;
  "- *De*: " &amp; _xlpm.deTxt &amp; CHAR(13)&amp;CHAR(10) &amp;
  "- *Para*: " &amp; _xlpm.paraTxt &amp; CHAR(13)&amp;CHAR(10) &amp;
  "- *Ida e volta*: +/- " &amp; TEXT(((D22*1.5)/1440),"h:mm") &amp; "h | " &amp; D22 &amp; "km"
)</f>
        <v>- : *9AGC1007EHS000187*_x000D_
- _x000D_
- *Cliente*: TRANSF -NF000076891 -NF 45972_x000D_
- *Obs:* N/A_x000D_
- *De*: MACPONTA AGRO DE IRATI_x000D_
- *Para*: MACPONTA AGRO DE PRUDENTÓPOLIS_x000D_
- *Ida e volta*: +/- 8:07h | 325km</v>
      </c>
    </row>
    <row r="23" spans="1:19" x14ac:dyDescent="0.3">
      <c r="A23" s="16" t="s">
        <v>161</v>
      </c>
      <c r="B23" s="17" t="s">
        <v>30</v>
      </c>
      <c r="C23" s="18">
        <v>0.33819444444444446</v>
      </c>
      <c r="D23" s="17">
        <v>325</v>
      </c>
      <c r="E23" s="19">
        <f t="shared" si="0"/>
        <v>2275</v>
      </c>
      <c r="F23" s="20">
        <v>0</v>
      </c>
      <c r="G23" s="17" t="s">
        <v>69</v>
      </c>
      <c r="H23" s="21">
        <v>45972</v>
      </c>
      <c r="I23" s="22">
        <v>45972</v>
      </c>
      <c r="J23" s="23" t="s">
        <v>70</v>
      </c>
      <c r="K23" s="17" t="s">
        <v>66</v>
      </c>
      <c r="L23" s="17" t="s">
        <v>21</v>
      </c>
      <c r="M23" s="17" t="s">
        <v>67</v>
      </c>
      <c r="N23" s="16" t="s">
        <v>68</v>
      </c>
      <c r="O23" s="23" t="s">
        <v>27</v>
      </c>
      <c r="P23" s="25" t="s">
        <v>27</v>
      </c>
      <c r="Q23" s="23" t="s">
        <v>159</v>
      </c>
      <c r="R23" s="2" t="str">
        <f t="shared" si="1"/>
        <v>P111</v>
      </c>
      <c r="S23" s="2" t="str" cm="1">
        <f t="array" ref="S23">_xlfn.LET(
  _xlpm.ch, TRIM(SUBSTITUTE(G23,CHAR(160),"")),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TRIM(SUBSTITUTE(R23,CHAR(160),"")),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IF(L23="CLIENTE", O23, IF(LEFT(L23,4)="http", L23, "MACPONTA AGRO DE "&amp;L23)),
  _xlpm.paraBase, IF(M23="CLIENTE", P23, M23),
  _xlpm.paraTxt, IF(LEFT(_xlpm.paraBase,4)="http", _xlpm.paraBase, "MACPONTA AGRO DE "&amp;_xlpm.paraBase),
  _xlpm.nfParte, IF(LEN(TRIM(I23))=0, "", " -NF "&amp;TRIM(I23)),
  "- " &amp; _xlpm.tipotxt &amp; ": *" &amp; G23 &amp; "*" &amp; CHAR(13)&amp;CHAR(10) &amp;
  "- " &amp; _xlpm.dimtxt &amp; CHAR(13)&amp;CHAR(10) &amp;
  "- *Cliente*: " &amp; J23 &amp; _xlpm.nfParte &amp; CHAR(13)&amp;CHAR(10) &amp;
  "- *Obs:* " &amp; Q23 &amp; CHAR(13)&amp;CHAR(10) &amp; CHAR(10) &amp;
  "- *De*: " &amp; _xlpm.deTxt &amp; CHAR(13)&amp;CHAR(10) &amp;
  "- *Para*: " &amp; _xlpm.paraTxt &amp; CHAR(13)&amp;CHAR(10) &amp;
  "- *Ida e volta*: +/- " &amp; TEXT(((D23*1.5)/1440),"h:mm") &amp; "h | " &amp; D23 &amp; "km"
)</f>
        <v>- : *AAAP1112CGS000944*_x000D_
- _x000D_
- *Cliente*: TRANSF -NF000076886 -NF 45972_x000D_
- *Obs:* N/A_x000D_
- *De*: MACPONTA AGRO DE IRATI_x000D_
- *Para*: MACPONTA AGRO DE PRUDENTÓPOLIS_x000D_
- *Ida e volta*: +/- 8:07h | 325km</v>
      </c>
    </row>
    <row r="24" spans="1:19" x14ac:dyDescent="0.3">
      <c r="A24" s="16" t="s">
        <v>161</v>
      </c>
      <c r="B24" s="17" t="s">
        <v>30</v>
      </c>
      <c r="C24" s="18">
        <v>0.26527777777777778</v>
      </c>
      <c r="D24" s="17">
        <v>255</v>
      </c>
      <c r="E24" s="19">
        <f t="shared" si="0"/>
        <v>1785</v>
      </c>
      <c r="F24" s="20">
        <v>0</v>
      </c>
      <c r="G24" s="17" t="s">
        <v>143</v>
      </c>
      <c r="H24" s="21">
        <v>45972</v>
      </c>
      <c r="I24" s="22">
        <v>45972</v>
      </c>
      <c r="J24" s="23" t="s">
        <v>144</v>
      </c>
      <c r="K24" s="17" t="s">
        <v>66</v>
      </c>
      <c r="L24" s="17" t="s">
        <v>21</v>
      </c>
      <c r="M24" s="17" t="s">
        <v>67</v>
      </c>
      <c r="N24" s="16" t="s">
        <v>68</v>
      </c>
      <c r="O24" s="23" t="s">
        <v>27</v>
      </c>
      <c r="P24" s="25" t="s">
        <v>27</v>
      </c>
      <c r="Q24" s="23" t="s">
        <v>159</v>
      </c>
      <c r="R24" s="2" t="str">
        <f t="shared" si="1"/>
        <v>6150J</v>
      </c>
      <c r="S24" s="2" t="str" cm="1">
        <f t="array" ref="S24">_xlfn.LET(
  _xlpm.ch, TRIM(SUBSTITUTE(G24,CHAR(160),"")),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TRIM(SUBSTITUTE(R24,CHAR(160),"")),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IF(L24="CLIENTE", O24, IF(LEFT(L24,4)="http", L24, "MACPONTA AGRO DE "&amp;L24)),
  _xlpm.paraBase, IF(M24="CLIENTE", P24, M24),
  _xlpm.paraTxt, IF(LEFT(_xlpm.paraBase,4)="http", _xlpm.paraBase, "MACPONTA AGRO DE "&amp;_xlpm.paraBase),
  _xlpm.nfParte, IF(LEN(TRIM(I24))=0, "", " -NF "&amp;TRIM(I24)),
  "- " &amp; _xlpm.tipotxt &amp; ": *" &amp; G24 &amp; "*" &amp; CHAR(13)&amp;CHAR(10) &amp;
  "- " &amp; _xlpm.dimtxt &amp; CHAR(13)&amp;CHAR(10) &amp;
  "- *Cliente*: " &amp; J24 &amp; _xlpm.nfParte &amp; CHAR(13)&amp;CHAR(10) &amp;
  "- *Obs:* " &amp; Q24 &amp; CHAR(13)&amp;CHAR(10) &amp; CHAR(10) &amp;
  "- *De*: " &amp; _xlpm.deTxt &amp; CHAR(13)&amp;CHAR(10) &amp;
  "- *Para*: " &amp; _xlpm.paraTxt &amp; CHAR(13)&amp;CHAR(10) &amp;
  "- *Ida e volta*: +/- " &amp; TEXT(((D24*1.5)/1440),"h:mm") &amp; "h | " &amp; D24 &amp; "km"
)</f>
        <v>- TRATOR: *1BM6150JCSD642412*_x000D_
- _x000D_
- *Cliente*: TRANSF -NF000076884 -NF 45972_x000D_
- *Obs:* N/A_x000D_
- *De*: MACPONTA AGRO DE IRATI_x000D_
- *Para*: MACPONTA AGRO DE PRUDENTÓPOLIS_x000D_
- *Ida e volta*: +/- 6:22h | 255km</v>
      </c>
    </row>
    <row r="25" spans="1:19" x14ac:dyDescent="0.3">
      <c r="A25" s="16" t="s">
        <v>161</v>
      </c>
      <c r="B25" s="17" t="s">
        <v>30</v>
      </c>
      <c r="C25" s="18">
        <v>0.26527777777777778</v>
      </c>
      <c r="D25" s="17">
        <v>255</v>
      </c>
      <c r="E25" s="19">
        <f t="shared" si="0"/>
        <v>1785</v>
      </c>
      <c r="F25" s="20">
        <v>0</v>
      </c>
      <c r="G25" s="17" t="s">
        <v>145</v>
      </c>
      <c r="H25" s="21">
        <v>45972</v>
      </c>
      <c r="I25" s="22">
        <v>45972</v>
      </c>
      <c r="J25" s="23" t="s">
        <v>144</v>
      </c>
      <c r="K25" s="17" t="s">
        <v>66</v>
      </c>
      <c r="L25" s="17" t="s">
        <v>21</v>
      </c>
      <c r="M25" s="17" t="s">
        <v>67</v>
      </c>
      <c r="N25" s="16" t="s">
        <v>68</v>
      </c>
      <c r="O25" s="23" t="s">
        <v>27</v>
      </c>
      <c r="P25" s="25" t="s">
        <v>27</v>
      </c>
      <c r="Q25" s="23" t="s">
        <v>159</v>
      </c>
      <c r="R25" s="2" t="str">
        <f t="shared" si="1"/>
        <v>5078E</v>
      </c>
      <c r="S25" s="2" t="str" cm="1">
        <f t="array" ref="S25">_xlfn.LET(
  _xlpm.ch, TRIM(SUBSTITUTE(G25,CHAR(160),"")),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TRIM(SUBSTITUTE(R25,CHAR(160),"")),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IF(L25="CLIENTE", O25, IF(LEFT(L25,4)="http", L25, "MACPONTA AGRO DE "&amp;L25)),
  _xlpm.paraBase, IF(M25="CLIENTE", P25, M25),
  _xlpm.paraTxt, IF(LEFT(_xlpm.paraBase,4)="http", _xlpm.paraBase, "MACPONTA AGRO DE "&amp;_xlpm.paraBase),
  _xlpm.nfParte, IF(LEN(TRIM(I25))=0, "", " -NF "&amp;TRIM(I25)),
  "- " &amp; _xlpm.tipotxt &amp; ": *" &amp; G25 &amp; "*" &amp; CHAR(13)&amp;CHAR(10) &amp;
  "- " &amp; _xlpm.dimtxt &amp; CHAR(13)&amp;CHAR(10) &amp;
  "- *Cliente*: " &amp; J25 &amp; _xlpm.nfParte &amp; CHAR(13)&amp;CHAR(10) &amp;
  "- *Obs:* " &amp; Q25 &amp; CHAR(13)&amp;CHAR(10) &amp; CHAR(10) &amp;
  "- *De*: " &amp; _xlpm.deTxt &amp; CHAR(13)&amp;CHAR(10) &amp;
  "- *Para*: " &amp; _xlpm.paraTxt &amp; CHAR(13)&amp;CHAR(10) &amp;
  "- *Ida e volta*: +/- " &amp; TEXT(((D25*1.5)/1440),"h:mm") &amp; "h | " &amp; D25 &amp; "km"
)</f>
        <v>- TRATOR: *1BM5078EHS4200616*_x000D_
- _x000D_
- *Cliente*: TRANSF -NF000076884 -NF 45972_x000D_
- *Obs:* N/A_x000D_
- *De*: MACPONTA AGRO DE IRATI_x000D_
- *Para*: MACPONTA AGRO DE PRUDENTÓPOLIS_x000D_
- *Ida e volta*: +/- 6:22h | 255km</v>
      </c>
    </row>
    <row r="26" spans="1:19" x14ac:dyDescent="0.3">
      <c r="A26" s="16" t="s">
        <v>161</v>
      </c>
      <c r="B26" s="17" t="s">
        <v>77</v>
      </c>
      <c r="C26" s="18">
        <v>8.1250000000000003E-2</v>
      </c>
      <c r="D26" s="17">
        <v>78</v>
      </c>
      <c r="E26" s="19">
        <f t="shared" si="0"/>
        <v>546</v>
      </c>
      <c r="F26" s="20"/>
      <c r="G26" s="17" t="s">
        <v>150</v>
      </c>
      <c r="H26" s="21">
        <v>45972</v>
      </c>
      <c r="I26" s="22">
        <v>45972</v>
      </c>
      <c r="J26" s="23" t="s">
        <v>151</v>
      </c>
      <c r="K26" s="17" t="s">
        <v>46</v>
      </c>
      <c r="L26" s="17" t="s">
        <v>67</v>
      </c>
      <c r="M26" s="17" t="s">
        <v>6</v>
      </c>
      <c r="N26" s="16" t="s">
        <v>34</v>
      </c>
      <c r="O26" s="23" t="s">
        <v>27</v>
      </c>
      <c r="P26" s="27" t="s">
        <v>152</v>
      </c>
      <c r="Q26" s="23" t="s">
        <v>153</v>
      </c>
      <c r="R26" s="2" t="str">
        <f t="shared" si="1"/>
        <v>6100J</v>
      </c>
      <c r="S26" s="2" t="str" cm="1">
        <f t="array" ref="S26">_xlfn.LET(
  _xlpm.ch, TRIM(SUBSTITUTE(G26,CHAR(160),"")),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TRIM(SUBSTITUTE(R26,CHAR(160),"")),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IF(L26="CLIENTE", O26, IF(LEFT(L26,4)="http", L26, "MACPONTA AGRO DE "&amp;L26)),
  _xlpm.paraBase, IF(M26="CLIENTE", P26, M26),
  _xlpm.paraTxt, IF(LEFT(_xlpm.paraBase,4)="http", _xlpm.paraBase, "MACPONTA AGRO DE "&amp;_xlpm.paraBase),
  _xlpm.nfParte, IF(LEN(TRIM(I26))=0, "", " -NF "&amp;TRIM(I26)),
  "- " &amp; _xlpm.tipotxt &amp; ": *" &amp; G26 &amp; "*" &amp; CHAR(13)&amp;CHAR(10) &amp;
  "- " &amp; _xlpm.dimtxt &amp; CHAR(13)&amp;CHAR(10) &amp;
  "- *Cliente*: " &amp; J26 &amp; _xlpm.nfParte &amp; CHAR(13)&amp;CHAR(10) &amp;
  "- *Obs:* " &amp; Q26 &amp; CHAR(13)&amp;CHAR(10) &amp; CHAR(10) &amp;
  "- *De*: " &amp; _xlpm.deTxt &amp; CHAR(13)&amp;CHAR(10) &amp;
  "- *Para*: " &amp; _xlpm.paraTxt &amp; CHAR(13)&amp;CHAR(10) &amp;
  "- *Ida e volta*: +/- " &amp; TEXT(((D26*1.5)/1440),"h:mm") &amp; "h | " &amp; D26 &amp; "km"
)</f>
        <v>- TRATOR: *1BM6100JESD602123*_x000D_
- _x000D_
- *Cliente*: OSWALDO R BARBOSA -NF107698 -NF 45972_x000D_
- *Obs:* Oswaldo_x000D_
- *De*: MACPONTA AGRO DE PRUDENTÓPOLIS_x000D_
- *Para*: https://maps.app.goo.gl/3mYP9KzrASogJS3w9_x000D_
- *Ida e volta*: +/- 1:57h | 78km</v>
      </c>
    </row>
    <row r="27" spans="1:19" x14ac:dyDescent="0.3">
      <c r="A27" s="16" t="s">
        <v>163</v>
      </c>
      <c r="B27" s="17" t="s">
        <v>30</v>
      </c>
      <c r="C27" s="18">
        <v>0.52083333333333337</v>
      </c>
      <c r="D27" s="17">
        <v>500</v>
      </c>
      <c r="E27" s="19">
        <f t="shared" si="0"/>
        <v>3500</v>
      </c>
      <c r="F27" s="20">
        <v>0</v>
      </c>
      <c r="G27" s="17" t="s">
        <v>71</v>
      </c>
      <c r="H27" s="21">
        <v>45972</v>
      </c>
      <c r="I27" s="22">
        <v>45971</v>
      </c>
      <c r="J27" s="23" t="s">
        <v>72</v>
      </c>
      <c r="K27" s="17" t="s">
        <v>73</v>
      </c>
      <c r="L27" s="17" t="s">
        <v>19</v>
      </c>
      <c r="M27" s="17" t="s">
        <v>6</v>
      </c>
      <c r="N27" s="16" t="s">
        <v>74</v>
      </c>
      <c r="O27" s="23" t="s">
        <v>27</v>
      </c>
      <c r="P27" s="27" t="s">
        <v>75</v>
      </c>
      <c r="Q27" s="23" t="s">
        <v>159</v>
      </c>
      <c r="R27" s="2" t="str">
        <f t="shared" si="1"/>
        <v>S550</v>
      </c>
      <c r="S27" s="2" t="str" cm="1">
        <f t="array" ref="S27">_xlfn.LET(
  _xlpm.ch, TRIM(SUBSTITUTE(G27,CHAR(160),"")),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TRIM(SUBSTITUTE(R27,CHAR(160),"")),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IF(L27="CLIENTE", O27, IF(LEFT(L27,4)="http", L27, "MACPONTA AGRO DE "&amp;L27)),
  _xlpm.paraBase, IF(M27="CLIENTE", P27, M27),
  _xlpm.paraTxt, IF(LEFT(_xlpm.paraBase,4)="http", _xlpm.paraBase, "MACPONTA AGRO DE "&amp;_xlpm.paraBase),
  _xlpm.nfParte, IF(LEN(TRIM(I27))=0, "", " -NF "&amp;TRIM(I27)),
  "- " &amp; _xlpm.tipotxt &amp; ": *" &amp; G27 &amp; "*" &amp; CHAR(13)&amp;CHAR(10) &amp;
  "- " &amp; _xlpm.dimtxt &amp; CHAR(13)&amp;CHAR(10) &amp;
  "- *Cliente*: " &amp; J27 &amp; _xlpm.nfParte &amp; CHAR(13)&amp;CHAR(10) &amp;
  "- *Obs:* " &amp; Q27 &amp; CHAR(13)&amp;CHAR(10) &amp; CHAR(10) &amp;
  "- *De*: " &amp; _xlpm.deTxt &amp; CHAR(13)&amp;CHAR(10) &amp;
  "- *Para*: " &amp; _xlpm.paraTxt &amp; CHAR(13)&amp;CHAR(10) &amp;
  "- *Ida e volta*: +/- " &amp; TEXT(((D27*1.5)/1440),"h:mm") &amp; "h | " &amp; D27 &amp; "km"
)</f>
        <v>- COLHEITADEIRA: *1CQS550APS0160136*_x000D_
- A:3,80 x C:10,00 x L:3,70-4,20 x P:15.938kg_x000D_
- *Cliente*: DOUGLAS FONSECA -NF 107225 -NF 45971_x000D_
- *Obs:* N/A_x000D_
- *De*: MACPONTA AGRO DE GUARAPUAVA_x000D_
- *Para*: https://maps.app.goo.gl/xyQpe8BG44WqsG1v9_x000D_
- *Ida e volta*: +/- 12:30h | 500km</v>
      </c>
    </row>
    <row r="28" spans="1:19" x14ac:dyDescent="0.3">
      <c r="A28" s="16" t="s">
        <v>163</v>
      </c>
      <c r="B28" s="17" t="s">
        <v>30</v>
      </c>
      <c r="C28" s="18">
        <v>0.52083333333333337</v>
      </c>
      <c r="D28" s="17">
        <v>500</v>
      </c>
      <c r="E28" s="19">
        <f t="shared" si="0"/>
        <v>3500</v>
      </c>
      <c r="F28" s="20">
        <v>0</v>
      </c>
      <c r="G28" s="17" t="s">
        <v>76</v>
      </c>
      <c r="H28" s="21">
        <v>45972</v>
      </c>
      <c r="I28" s="22">
        <v>45971</v>
      </c>
      <c r="J28" s="23" t="s">
        <v>72</v>
      </c>
      <c r="K28" s="17" t="s">
        <v>73</v>
      </c>
      <c r="L28" s="17" t="s">
        <v>19</v>
      </c>
      <c r="M28" s="17" t="s">
        <v>6</v>
      </c>
      <c r="N28" s="16" t="s">
        <v>74</v>
      </c>
      <c r="O28" s="23" t="s">
        <v>27</v>
      </c>
      <c r="P28" s="27" t="s">
        <v>75</v>
      </c>
      <c r="Q28" s="23" t="s">
        <v>159</v>
      </c>
      <c r="R28" s="2" t="str">
        <f t="shared" si="1"/>
        <v>RD30</v>
      </c>
      <c r="S28" s="2" t="str" cm="1">
        <f t="array" ref="S28">_xlfn.LET(
  _xlpm.ch, TRIM(SUBSTITUTE(G28,CHAR(160),"")),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TRIM(SUBSTITUTE(R28,CHAR(160),"")),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IF(L28="CLIENTE", O28, IF(LEFT(L28,4)="http", L28, "MACPONTA AGRO DE "&amp;L28)),
  _xlpm.paraBase, IF(M28="CLIENTE", P28, M28),
  _xlpm.paraTxt, IF(LEFT(_xlpm.paraBase,4)="http", _xlpm.paraBase, "MACPONTA AGRO DE "&amp;_xlpm.paraBase),
  _xlpm.nfParte, IF(LEN(TRIM(I28))=0, "", " -NF "&amp;TRIM(I28)),
  "- " &amp; _xlpm.tipotxt &amp; ": *" &amp; G28 &amp; "*" &amp; CHAR(13)&amp;CHAR(10) &amp;
  "- " &amp; _xlpm.dimtxt &amp; CHAR(13)&amp;CHAR(10) &amp;
  "- *Cliente*: " &amp; J28 &amp; _xlpm.nfParte &amp; CHAR(13)&amp;CHAR(10) &amp;
  "- *Obs:* " &amp; Q28 &amp; CHAR(13)&amp;CHAR(10) &amp; CHAR(10) &amp;
  "- *De*: " &amp; _xlpm.deTxt &amp; CHAR(13)&amp;CHAR(10) &amp;
  "- *Para*: " &amp; _xlpm.paraTxt &amp; CHAR(13)&amp;CHAR(10) &amp;
  "- *Ida e volta*: +/- " &amp; TEXT(((D28*1.5)/1440),"h:mm") &amp; "h | " &amp; D28 &amp; "km"
)</f>
        <v>- PLATAFORMA: *1CQRD30AVS0160245*_x000D_
- A:1,60 x C:9,14 x L:2,20-2,20 x P:4.200kg_x000D_
- *Cliente*: DOUGLAS FONSECA -NF 107225 -NF 45971_x000D_
- *Obs:* N/A_x000D_
- *De*: MACPONTA AGRO DE GUARAPUAVA_x000D_
- *Para*: https://maps.app.goo.gl/xyQpe8BG44WqsG1v9_x000D_
- *Ida e volta*: +/- 12:30h | 500km</v>
      </c>
    </row>
    <row r="29" spans="1:19" x14ac:dyDescent="0.3">
      <c r="A29" s="16" t="s">
        <v>160</v>
      </c>
      <c r="B29" s="17" t="s">
        <v>30</v>
      </c>
      <c r="C29" s="18">
        <v>0.10694444444444444</v>
      </c>
      <c r="D29" s="17">
        <v>103</v>
      </c>
      <c r="E29" s="19">
        <f t="shared" si="0"/>
        <v>721</v>
      </c>
      <c r="F29" s="20">
        <v>0</v>
      </c>
      <c r="G29" s="17" t="s">
        <v>49</v>
      </c>
      <c r="H29" s="21">
        <v>45974</v>
      </c>
      <c r="I29" s="16"/>
      <c r="J29" s="23" t="s">
        <v>50</v>
      </c>
      <c r="K29" s="17" t="s">
        <v>33</v>
      </c>
      <c r="L29" s="17" t="s">
        <v>18</v>
      </c>
      <c r="M29" s="17" t="s">
        <v>6</v>
      </c>
      <c r="N29" s="16" t="s">
        <v>34</v>
      </c>
      <c r="O29" s="23" t="s">
        <v>27</v>
      </c>
      <c r="P29" s="25" t="s">
        <v>51</v>
      </c>
      <c r="Q29" s="23" t="s">
        <v>52</v>
      </c>
      <c r="R29" s="2" t="str">
        <f t="shared" si="1"/>
        <v>5080E</v>
      </c>
      <c r="S29" s="2" t="str" cm="1">
        <f t="array" ref="S29">_xlfn.LET(
  _xlpm.ch, TRIM(SUBSTITUTE(G29,CHAR(160),"")),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TRIM(SUBSTITUTE(R29,CHAR(160),"")),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IF(L29="CLIENTE", O29, IF(LEFT(L29,4)="http", L29, "MACPONTA AGRO DE "&amp;L29)),
  _xlpm.paraBase, IF(M29="CLIENTE", P29, M29),
  _xlpm.paraTxt, IF(LEFT(_xlpm.paraBase,4)="http", _xlpm.paraBase, "MACPONTA AGRO DE "&amp;_xlpm.paraBase),
  _xlpm.nfParte, IF(LEN(TRIM(I29))=0, "", " -NF "&amp;TRIM(I29)),
  "- " &amp; _xlpm.tipotxt &amp; ": *" &amp; G29 &amp; "*" &amp; CHAR(13)&amp;CHAR(10) &amp;
  "- " &amp; _xlpm.dimtxt &amp; CHAR(13)&amp;CHAR(10) &amp;
  "- *Cliente*: " &amp; J29 &amp; _xlpm.nfParte &amp; CHAR(13)&amp;CHAR(10) &amp;
  "- *Obs:* " &amp; Q29 &amp; CHAR(13)&amp;CHAR(10) &amp; CHAR(10) &amp;
  "- *De*: " &amp; _xlpm.deTxt &amp; CHAR(13)&amp;CHAR(10) &amp;
  "- *Para*: " &amp; _xlpm.paraTxt &amp; CHAR(13)&amp;CHAR(10) &amp;
  "- *Ida e volta*: +/- " &amp; TEXT(((D29*1.5)/1440),"h:mm") &amp; "h | " &amp; D29 &amp; "km"
)</f>
        <v>- TRATOR: *1BM5080EVS6204375*_x000D_
- _x000D_
- *Cliente*: CARLA BORKOSKI -NF278340_x000D_
- *Obs:* GERALDO - GABRIEL - AVISAR CLEBER PARA ACOMPANHAR_x000D_
- *De*: MACPONTA AGRO DE PONTA GROSSA_x000D_
- *Para*: https://maps.app.goo.gl/pz4jP4cRzqhcm3mP6_x000D_
- *Ida e volta*: +/- 2:34h | 103km</v>
      </c>
    </row>
    <row r="30" spans="1:19" x14ac:dyDescent="0.3">
      <c r="A30" s="16" t="s">
        <v>160</v>
      </c>
      <c r="B30" s="17" t="s">
        <v>30</v>
      </c>
      <c r="C30" s="18">
        <v>0.10694444444444444</v>
      </c>
      <c r="D30" s="17">
        <v>103</v>
      </c>
      <c r="E30" s="19">
        <f t="shared" si="0"/>
        <v>721</v>
      </c>
      <c r="F30" s="20">
        <v>0</v>
      </c>
      <c r="G30" s="17" t="s">
        <v>53</v>
      </c>
      <c r="H30" s="21">
        <v>45974</v>
      </c>
      <c r="I30" s="16"/>
      <c r="J30" s="23" t="s">
        <v>54</v>
      </c>
      <c r="K30" s="17" t="s">
        <v>33</v>
      </c>
      <c r="L30" s="17" t="s">
        <v>18</v>
      </c>
      <c r="M30" s="17" t="s">
        <v>6</v>
      </c>
      <c r="N30" s="16" t="s">
        <v>34</v>
      </c>
      <c r="O30" s="23" t="s">
        <v>27</v>
      </c>
      <c r="P30" s="25" t="s">
        <v>51</v>
      </c>
      <c r="Q30" s="23" t="s">
        <v>52</v>
      </c>
      <c r="R30" s="2" t="str">
        <f t="shared" si="1"/>
        <v>5080E</v>
      </c>
      <c r="S30" s="2" t="str" cm="1">
        <f t="array" ref="S30">_xlfn.LET(
  _xlpm.ch, TRIM(SUBSTITUTE(G30,CHAR(160),"")),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TRIM(SUBSTITUTE(R30,CHAR(160),"")),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IF(L30="CLIENTE", O30, IF(LEFT(L30,4)="http", L30, "MACPONTA AGRO DE "&amp;L30)),
  _xlpm.paraBase, IF(M30="CLIENTE", P30, M30),
  _xlpm.paraTxt, IF(LEFT(_xlpm.paraBase,4)="http", _xlpm.paraBase, "MACPONTA AGRO DE "&amp;_xlpm.paraBase),
  _xlpm.nfParte, IF(LEN(TRIM(I30))=0, "", " -NF "&amp;TRIM(I30)),
  "- " &amp; _xlpm.tipotxt &amp; ": *" &amp; G30 &amp; "*" &amp; CHAR(13)&amp;CHAR(10) &amp;
  "- " &amp; _xlpm.dimtxt &amp; CHAR(13)&amp;CHAR(10) &amp;
  "- *Cliente*: " &amp; J30 &amp; _xlpm.nfParte &amp; CHAR(13)&amp;CHAR(10) &amp;
  "- *Obs:* " &amp; Q30 &amp; CHAR(13)&amp;CHAR(10) &amp; CHAR(10) &amp;
  "- *De*: " &amp; _xlpm.deTxt &amp; CHAR(13)&amp;CHAR(10) &amp;
  "- *Para*: " &amp; _xlpm.paraTxt &amp; CHAR(13)&amp;CHAR(10) &amp;
  "- *Ida e volta*: +/- " &amp; TEXT(((D30*1.5)/1440),"h:mm") &amp; "h | " &amp; D30 &amp; "km"
)</f>
        <v>- TRATOR: *1BM5080EVS6204327*_x000D_
- _x000D_
- *Cliente*: MARIA BORKOSKI -NF278379_x000D_
- *Obs:* GERALDO - GABRIEL - AVISAR CLEBER PARA ACOMPANHAR_x000D_
- *De*: MACPONTA AGRO DE PONTA GROSSA_x000D_
- *Para*: https://maps.app.goo.gl/pz4jP4cRzqhcm3mP6_x000D_
- *Ida e volta*: +/- 2:34h | 103km</v>
      </c>
    </row>
    <row r="31" spans="1:19" x14ac:dyDescent="0.3">
      <c r="A31" s="16" t="s">
        <v>160</v>
      </c>
      <c r="B31" s="17" t="s">
        <v>55</v>
      </c>
      <c r="C31" s="18">
        <v>7.4999999999999997E-2</v>
      </c>
      <c r="D31" s="17">
        <v>72</v>
      </c>
      <c r="E31" s="19">
        <f t="shared" si="0"/>
        <v>504</v>
      </c>
      <c r="F31" s="20">
        <v>0</v>
      </c>
      <c r="G31" s="17" t="s">
        <v>56</v>
      </c>
      <c r="H31" s="21">
        <v>45974</v>
      </c>
      <c r="I31" s="16"/>
      <c r="J31" s="23" t="s">
        <v>57</v>
      </c>
      <c r="K31" s="17" t="s">
        <v>58</v>
      </c>
      <c r="L31" s="17" t="s">
        <v>6</v>
      </c>
      <c r="M31" s="17" t="s">
        <v>21</v>
      </c>
      <c r="N31" s="16" t="s">
        <v>59</v>
      </c>
      <c r="O31" s="24" t="s">
        <v>147</v>
      </c>
      <c r="P31" s="25" t="s">
        <v>27</v>
      </c>
      <c r="Q31" s="23" t="s">
        <v>60</v>
      </c>
      <c r="R31" s="2" t="str">
        <f t="shared" si="1"/>
        <v>5080E</v>
      </c>
      <c r="S31" s="2" t="str" cm="1">
        <f t="array" ref="S31">_xlfn.LET(
  _xlpm.ch, TRIM(SUBSTITUTE(G31,CHAR(160),"")),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TRIM(SUBSTITUTE(R31,CHAR(160),"")),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IF(L31="CLIENTE", O31, IF(LEFT(L31,4)="http", L31, "MACPONTA AGRO DE "&amp;L31)),
  _xlpm.paraBase, IF(M31="CLIENTE", P31, M31),
  _xlpm.paraTxt, IF(LEFT(_xlpm.paraBase,4)="http", _xlpm.paraBase, "MACPONTA AGRO DE "&amp;_xlpm.paraBase),
  _xlpm.nfParte, IF(LEN(TRIM(I31))=0, "", " -NF "&amp;TRIM(I31)),
  "- " &amp; _xlpm.tipotxt &amp; ": *" &amp; G31 &amp; "*" &amp; CHAR(13)&amp;CHAR(10) &amp;
  "- " &amp; _xlpm.dimtxt &amp; CHAR(13)&amp;CHAR(10) &amp;
  "- *Cliente*: " &amp; J31 &amp; _xlpm.nfParte &amp; CHAR(13)&amp;CHAR(10) &amp;
  "- *Obs:* " &amp; Q31 &amp; CHAR(13)&amp;CHAR(10) &amp; CHAR(10) &amp;
  "- *De*: " &amp; _xlpm.deTxt &amp; CHAR(13)&amp;CHAR(10) &amp;
  "- *Para*: " &amp; _xlpm.paraTxt &amp; CHAR(13)&amp;CHAR(10) &amp;
  "- *Ida e volta*: +/- " &amp; TEXT(((D31*1.5)/1440),"h:mm") &amp; "h | " &amp; D31 &amp; "km"
)</f>
        <v>- TRATOR: *1BM5080ECN4109659*_x000D_
- _x000D_
- *Cliente*: CLIENTE → MANUTENÇÃO_x000D_
- *Obs:* OFICINA_x000D_
- *De*: https://maps.app.goo.gl/fhc785TjS54Vtjgc8_x000D_
- *Para*: MACPONTA AGRO DE IRATI_x000D_
- *Ida e volta*: +/- 1:48h | 72km</v>
      </c>
    </row>
    <row r="32" spans="1:19" x14ac:dyDescent="0.3">
      <c r="A32" s="16" t="s">
        <v>160</v>
      </c>
      <c r="B32" s="17" t="s">
        <v>55</v>
      </c>
      <c r="C32" s="18">
        <v>0.11944444444444445</v>
      </c>
      <c r="D32" s="17">
        <v>115</v>
      </c>
      <c r="E32" s="19">
        <f t="shared" si="0"/>
        <v>805</v>
      </c>
      <c r="F32" s="20">
        <v>0</v>
      </c>
      <c r="G32" s="17" t="s">
        <v>61</v>
      </c>
      <c r="H32" s="21">
        <v>45974</v>
      </c>
      <c r="I32" s="16"/>
      <c r="J32" s="23" t="s">
        <v>62</v>
      </c>
      <c r="K32" s="17" t="s">
        <v>58</v>
      </c>
      <c r="L32" s="17" t="s">
        <v>21</v>
      </c>
      <c r="M32" s="17" t="s">
        <v>6</v>
      </c>
      <c r="N32" s="16" t="s">
        <v>34</v>
      </c>
      <c r="O32" s="23" t="s">
        <v>27</v>
      </c>
      <c r="P32" s="27" t="s">
        <v>148</v>
      </c>
      <c r="Q32" s="23" t="s">
        <v>63</v>
      </c>
      <c r="R32" s="2" t="str">
        <f t="shared" si="1"/>
        <v>5080E</v>
      </c>
      <c r="S32" s="2" t="str" cm="1">
        <f t="array" ref="S32">_xlfn.LET(
  _xlpm.ch, TRIM(SUBSTITUTE(G32,CHAR(160),"")),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TRIM(SUBSTITUTE(R32,CHAR(160),"")),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IF(L32="CLIENTE", O32, IF(LEFT(L32,4)="http", L32, "MACPONTA AGRO DE "&amp;L32)),
  _xlpm.paraBase, IF(M32="CLIENTE", P32, M32),
  _xlpm.paraTxt, IF(LEFT(_xlpm.paraBase,4)="http", _xlpm.paraBase, "MACPONTA AGRO DE "&amp;_xlpm.paraBase),
  _xlpm.nfParte, IF(LEN(TRIM(I32))=0, "", " -NF "&amp;TRIM(I32)),
  "- " &amp; _xlpm.tipotxt &amp; ": *" &amp; G32 &amp; "*" &amp; CHAR(13)&amp;CHAR(10) &amp;
  "- " &amp; _xlpm.dimtxt &amp; CHAR(13)&amp;CHAR(10) &amp;
  "- *Cliente*: " &amp; J32 &amp; _xlpm.nfParte &amp; CHAR(13)&amp;CHAR(10) &amp;
  "- *Obs:* " &amp; Q32 &amp; CHAR(13)&amp;CHAR(10) &amp; CHAR(10) &amp;
  "- *De*: " &amp; _xlpm.deTxt &amp; CHAR(13)&amp;CHAR(10) &amp;
  "- *Para*: " &amp; _xlpm.paraTxt &amp; CHAR(13)&amp;CHAR(10) &amp;
  "- *Ida e volta*: +/- " &amp; TEXT(((D32*1.5)/1440),"h:mm") &amp; "h | " &amp; D32 &amp; "km"
)</f>
        <v>- TRATOR: *1BM5080EEP4112594*_x000D_
- _x000D_
- *Cliente*: MANUTENÇÃO → CLIENTE_x000D_
- *Obs:* JOSE VALCIR_x000D_
- *De*: MACPONTA AGRO DE IRATI_x000D_
- *Para*: https://maps.app.goo.gl/u6RQ92AcKr5YZVN5A_x000D_
- *Ida e volta*: +/- 2:52h | 115km</v>
      </c>
    </row>
    <row r="33" spans="1:19" x14ac:dyDescent="0.3">
      <c r="A33" s="16" t="s">
        <v>160</v>
      </c>
      <c r="B33" s="17" t="s">
        <v>43</v>
      </c>
      <c r="C33" s="18">
        <v>0.7631944444444444</v>
      </c>
      <c r="D33" s="17">
        <v>733</v>
      </c>
      <c r="E33" s="19">
        <f t="shared" si="0"/>
        <v>5131</v>
      </c>
      <c r="F33" s="20">
        <v>9600</v>
      </c>
      <c r="G33" s="17" t="s">
        <v>44</v>
      </c>
      <c r="H33" s="21">
        <v>45975</v>
      </c>
      <c r="I33" s="16"/>
      <c r="J33" s="23" t="s">
        <v>45</v>
      </c>
      <c r="K33" s="17" t="s">
        <v>46</v>
      </c>
      <c r="L33" s="17" t="s">
        <v>19</v>
      </c>
      <c r="M33" s="17" t="s">
        <v>6</v>
      </c>
      <c r="N33" s="16" t="s">
        <v>34</v>
      </c>
      <c r="O33" s="23" t="s">
        <v>27</v>
      </c>
      <c r="P33" s="25" t="s">
        <v>47</v>
      </c>
      <c r="Q33" s="23" t="s">
        <v>48</v>
      </c>
      <c r="R33" s="2" t="str">
        <f t="shared" si="1"/>
        <v>4030</v>
      </c>
      <c r="S33" s="2" t="str" cm="1">
        <f t="array" ref="S33">_xlfn.LET(
  _xlpm.ch, TRIM(SUBSTITUTE(G33,CHAR(160),"")),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TRIM(SUBSTITUTE(R33,CHAR(160),"")),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IF(L33="CLIENTE", O33, IF(LEFT(L33,4)="http", L33, "MACPONTA AGRO DE "&amp;L33)),
  _xlpm.paraBase, IF(M33="CLIENTE", P33, M33),
  _xlpm.paraTxt, IF(LEFT(_xlpm.paraBase,4)="http", _xlpm.paraBase, "MACPONTA AGRO DE "&amp;_xlpm.paraBase),
  _xlpm.nfParte, IF(LEN(TRIM(I33))=0, "", " -NF "&amp;TRIM(I33)),
  "- " &amp; _xlpm.tipotxt &amp; ": *" &amp; G33 &amp; "*" &amp; CHAR(13)&amp;CHAR(10) &amp;
  "- " &amp; _xlpm.dimtxt &amp; CHAR(13)&amp;CHAR(10) &amp;
  "- *Cliente*: " &amp; J33 &amp; _xlpm.nfParte &amp; CHAR(13)&amp;CHAR(10) &amp;
  "- *Obs:* " &amp; Q33 &amp; CHAR(13)&amp;CHAR(10) &amp; CHAR(10) &amp;
  "- *De*: " &amp; _xlpm.deTxt &amp; CHAR(13)&amp;CHAR(10) &amp;
  "- *Para*: " &amp; _xlpm.paraTxt &amp; CHAR(13)&amp;CHAR(10) &amp;
  "- *Ida e volta*: +/- " &amp; TEXT(((D33*1.5)/1440),"h:mm") &amp; "h | " &amp; D33 &amp; "km"
)</f>
        <v>- PULVERIZADOR: *1NW4030MES0250870*_x000D_
- A:3,35 x C:7,50 x L:3,12-3,94 x P:10.000kg_x000D_
- *Cliente*: VIKTOR LEH -NF107863 - AET ESP+ESCOLTA_x000D_
- *Obs:* Viktor _x000D_
- *De*: MACPONTA AGRO DE GUARAPUAVA_x000D_
- *Para*: https://maps.app.goo.gl/CR8ypB1Pd9ZCuWzE6_x000D_
- *Ida e volta*: +/- 18:19h | 733km</v>
      </c>
    </row>
    <row r="34" spans="1:19" x14ac:dyDescent="0.3">
      <c r="A34" s="16" t="s">
        <v>164</v>
      </c>
      <c r="B34" s="17" t="s">
        <v>30</v>
      </c>
      <c r="C34" s="18">
        <v>0.15625</v>
      </c>
      <c r="D34" s="17">
        <v>150</v>
      </c>
      <c r="E34" s="19">
        <f t="shared" si="0"/>
        <v>1050</v>
      </c>
      <c r="F34" s="20">
        <v>0</v>
      </c>
      <c r="G34" s="17" t="s">
        <v>38</v>
      </c>
      <c r="H34" s="21">
        <v>45978</v>
      </c>
      <c r="I34" s="16"/>
      <c r="J34" s="23" t="s">
        <v>39</v>
      </c>
      <c r="K34" s="17" t="s">
        <v>33</v>
      </c>
      <c r="L34" s="17" t="s">
        <v>18</v>
      </c>
      <c r="M34" s="17" t="s">
        <v>6</v>
      </c>
      <c r="N34" s="16" t="s">
        <v>34</v>
      </c>
      <c r="O34" s="23" t="s">
        <v>27</v>
      </c>
      <c r="P34" s="25" t="s">
        <v>40</v>
      </c>
      <c r="Q34" s="23" t="s">
        <v>41</v>
      </c>
      <c r="R34" s="2" t="str">
        <f t="shared" si="1"/>
        <v>S550</v>
      </c>
      <c r="S34" s="2" t="str" cm="1">
        <f t="array" ref="S34">_xlfn.LET(
  _xlpm.ch, TRIM(SUBSTITUTE(G34,CHAR(160),"")),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TRIM(SUBSTITUTE(R34,CHAR(160),"")),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IF(L34="CLIENTE", O34, IF(LEFT(L34,4)="http", L34, "MACPONTA AGRO DE "&amp;L34)),
  _xlpm.paraBase, IF(M34="CLIENTE", P34, M34),
  _xlpm.paraTxt, IF(LEFT(_xlpm.paraBase,4)="http", _xlpm.paraBase, "MACPONTA AGRO DE "&amp;_xlpm.paraBase),
  _xlpm.nfParte, IF(LEN(TRIM(I34))=0, "", " -NF "&amp;TRIM(I34)),
  "- " &amp; _xlpm.tipotxt &amp; ": *" &amp; G34 &amp; "*" &amp; CHAR(13)&amp;CHAR(10) &amp;
  "- " &amp; _xlpm.dimtxt &amp; CHAR(13)&amp;CHAR(10) &amp;
  "- *Cliente*: " &amp; J34 &amp; _xlpm.nfParte &amp; CHAR(13)&amp;CHAR(10) &amp;
  "- *Obs:* " &amp; Q34 &amp; CHAR(13)&amp;CHAR(10) &amp; CHAR(10) &amp;
  "- *De*: " &amp; _xlpm.deTxt &amp; CHAR(13)&amp;CHAR(10) &amp;
  "- *Para*: " &amp; _xlpm.paraTxt &amp; CHAR(13)&amp;CHAR(10) &amp;
  "- *Ida e volta*: +/- " &amp; TEXT(((D34*1.5)/1440),"h:mm") &amp; "h | " &amp; D34 &amp; "km"
)</f>
        <v>- COLHEITADEIRA: *1CQS550AER0155105*_x000D_
- A:3,80 x C:10,00 x L:3,70-4,20 x P:15.938kg_x000D_
- *Cliente*: MARCELO RIBEIRO NARDI -NF278794_x000D_
- *Obs:* DANILO - MARCELO _x000D_
- *De*: MACPONTA AGRO DE PONTA GROSSA_x000D_
- *Para*: https://maps.app.goo.gl/2DJawZBMR4yqycss9_x000D_
- *Ida e volta*: +/- 3:45h | 150km</v>
      </c>
    </row>
    <row r="35" spans="1:19" x14ac:dyDescent="0.3">
      <c r="A35" s="16" t="s">
        <v>164</v>
      </c>
      <c r="B35" s="17" t="s">
        <v>30</v>
      </c>
      <c r="C35" s="18">
        <v>0.15625</v>
      </c>
      <c r="D35" s="17">
        <v>150</v>
      </c>
      <c r="E35" s="19">
        <f t="shared" si="0"/>
        <v>1050</v>
      </c>
      <c r="F35" s="20">
        <v>0</v>
      </c>
      <c r="G35" s="17" t="s">
        <v>42</v>
      </c>
      <c r="H35" s="21">
        <v>45978</v>
      </c>
      <c r="I35" s="16"/>
      <c r="J35" s="23" t="s">
        <v>39</v>
      </c>
      <c r="K35" s="17" t="s">
        <v>33</v>
      </c>
      <c r="L35" s="17" t="s">
        <v>18</v>
      </c>
      <c r="M35" s="17" t="s">
        <v>6</v>
      </c>
      <c r="N35" s="16" t="s">
        <v>34</v>
      </c>
      <c r="O35" s="23" t="s">
        <v>27</v>
      </c>
      <c r="P35" s="25" t="s">
        <v>40</v>
      </c>
      <c r="Q35" s="23" t="s">
        <v>41</v>
      </c>
      <c r="R35" s="2" t="str">
        <f t="shared" si="1"/>
        <v>0630</v>
      </c>
      <c r="S35" s="2" t="str" cm="1">
        <f t="array" ref="S35">_xlfn.LET(
  _xlpm.ch, TRIM(SUBSTITUTE(G35,CHAR(160),"")),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TRIM(SUBSTITUTE(R35,CHAR(160),"")),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IF(L35="CLIENTE", O35, IF(LEFT(L35,4)="http", L35, "MACPONTA AGRO DE "&amp;L35)),
  _xlpm.paraBase, IF(M35="CLIENTE", P35, M35),
  _xlpm.paraTxt, IF(LEFT(_xlpm.paraBase,4)="http", _xlpm.paraBase, "MACPONTA AGRO DE "&amp;_xlpm.paraBase),
  _xlpm.nfParte, IF(LEN(TRIM(I35))=0, "", " -NF "&amp;TRIM(I35)),
  "- " &amp; _xlpm.tipotxt &amp; ": *" &amp; G35 &amp; "*" &amp; CHAR(13)&amp;CHAR(10) &amp;
  "- " &amp; _xlpm.dimtxt &amp; CHAR(13)&amp;CHAR(10) &amp;
  "- *Cliente*: " &amp; J35 &amp; _xlpm.nfParte &amp; CHAR(13)&amp;CHAR(10) &amp;
  "- *Obs:* " &amp; Q35 &amp; CHAR(13)&amp;CHAR(10) &amp; CHAR(10) &amp;
  "- *De*: " &amp; _xlpm.deTxt &amp; CHAR(13)&amp;CHAR(10) &amp;
  "- *Para*: " &amp; _xlpm.paraTxt &amp; CHAR(13)&amp;CHAR(10) &amp;
  "- *Ida e volta*: +/- " &amp; TEXT(((D35*1.5)/1440),"h:mm") &amp; "h | " &amp; D35 &amp; "km"
)</f>
        <v>- PLATAFORMA: *1CQ0630AHR0155127*_x000D_
- A:1,60 x C:9,14 x L:1,80-1,80 x P:2.871kg_x000D_
- *Cliente*: MARCELO RIBEIRO NARDI -NF278794_x000D_
- *Obs:* DANILO - MARCELO _x000D_
- *De*: MACPONTA AGRO DE PONTA GROSSA_x000D_
- *Para*: https://maps.app.goo.gl/2DJawZBMR4yqycss9_x000D_
- *Ida e volta*: +/- 3:45h | 150km</v>
      </c>
    </row>
    <row r="36" spans="1:19" x14ac:dyDescent="0.3">
      <c r="A36" s="16" t="s">
        <v>162</v>
      </c>
      <c r="B36" s="17" t="s">
        <v>30</v>
      </c>
      <c r="C36" s="18">
        <v>0.14583333333333334</v>
      </c>
      <c r="D36" s="17">
        <v>140</v>
      </c>
      <c r="E36" s="19">
        <f t="shared" si="0"/>
        <v>980</v>
      </c>
      <c r="F36" s="20">
        <v>0</v>
      </c>
      <c r="G36" s="17" t="s">
        <v>31</v>
      </c>
      <c r="H36" s="21">
        <v>45978</v>
      </c>
      <c r="I36" s="16"/>
      <c r="J36" s="23" t="s">
        <v>32</v>
      </c>
      <c r="K36" s="17" t="s">
        <v>33</v>
      </c>
      <c r="L36" s="17" t="s">
        <v>18</v>
      </c>
      <c r="M36" s="17" t="s">
        <v>6</v>
      </c>
      <c r="N36" s="16" t="s">
        <v>34</v>
      </c>
      <c r="O36" s="23" t="s">
        <v>27</v>
      </c>
      <c r="P36" s="25" t="s">
        <v>35</v>
      </c>
      <c r="Q36" s="23" t="s">
        <v>36</v>
      </c>
      <c r="R36" s="2" t="str">
        <f t="shared" si="1"/>
        <v>S440</v>
      </c>
      <c r="S36" s="2" t="str" cm="1">
        <f t="array" ref="S36">_xlfn.LET(
  _xlpm.ch, TRIM(SUBSTITUTE(G36,CHAR(160),"")),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TRIM(SUBSTITUTE(R36,CHAR(160),"")),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IF(L36="CLIENTE", O36, IF(LEFT(L36,4)="http", L36, "MACPONTA AGRO DE "&amp;L36)),
  _xlpm.paraBase, IF(M36="CLIENTE", P36, M36),
  _xlpm.paraTxt, IF(LEFT(_xlpm.paraBase,4)="http", _xlpm.paraBase, "MACPONTA AGRO DE "&amp;_xlpm.paraBase),
  _xlpm.nfParte, IF(LEN(TRIM(I36))=0, "", " -NF "&amp;TRIM(I36)),
  "- " &amp; _xlpm.tipotxt &amp; ": *" &amp; G36 &amp; "*" &amp; CHAR(13)&amp;CHAR(10) &amp;
  "- " &amp; _xlpm.dimtxt &amp; CHAR(13)&amp;CHAR(10) &amp;
  "- *Cliente*: " &amp; J36 &amp; _xlpm.nfParte &amp; CHAR(13)&amp;CHAR(10) &amp;
  "- *Obs:* " &amp; Q36 &amp; CHAR(13)&amp;CHAR(10) &amp; CHAR(10) &amp;
  "- *De*: " &amp; _xlpm.deTxt &amp; CHAR(13)&amp;CHAR(10) &amp;
  "- *Para*: " &amp; _xlpm.paraTxt &amp; CHAR(13)&amp;CHAR(10) &amp;
  "- *Ida e volta*: +/- " &amp; TEXT(((D36*1.5)/1440),"h:mm") &amp; "h | " &amp; D36 &amp; "km"
)</f>
        <v>- COLHEITADEIRA: *1CQS440AES0155172*_x000D_
- A:4,10 x C:7,70 x L:3,40-4,10 x P:11.800kg_x000D_
- *Cliente*: MARCELO RIBEIRO DE NARDI -NF_x000D_
- *Obs:* DANILO - AVISAR ROITEMAN PARA ACOMPANHAR_x000D_
- *De*: MACPONTA AGRO DE PONTA GROSSA_x000D_
- *Para*: https://maps.app.goo.gl/a7As7SRaDnZSRB6c6_x000D_
- *Ida e volta*: +/- 3:30h | 140km</v>
      </c>
    </row>
    <row r="37" spans="1:19" x14ac:dyDescent="0.3">
      <c r="A37" s="16" t="s">
        <v>162</v>
      </c>
      <c r="B37" s="17" t="s">
        <v>30</v>
      </c>
      <c r="C37" s="18">
        <v>0.14583333333333334</v>
      </c>
      <c r="D37" s="17">
        <v>140</v>
      </c>
      <c r="E37" s="19">
        <f t="shared" si="0"/>
        <v>980</v>
      </c>
      <c r="F37" s="20">
        <v>0</v>
      </c>
      <c r="G37" s="17" t="s">
        <v>37</v>
      </c>
      <c r="H37" s="21">
        <v>45978</v>
      </c>
      <c r="I37" s="16"/>
      <c r="J37" s="23" t="s">
        <v>32</v>
      </c>
      <c r="K37" s="17" t="s">
        <v>33</v>
      </c>
      <c r="L37" s="17" t="s">
        <v>18</v>
      </c>
      <c r="M37" s="17" t="s">
        <v>6</v>
      </c>
      <c r="N37" s="16" t="s">
        <v>34</v>
      </c>
      <c r="O37" s="23" t="s">
        <v>27</v>
      </c>
      <c r="P37" s="25" t="s">
        <v>35</v>
      </c>
      <c r="Q37" s="23" t="s">
        <v>36</v>
      </c>
      <c r="R37" s="2" t="str">
        <f t="shared" si="1"/>
        <v>FA25</v>
      </c>
      <c r="S37" s="2" t="str" cm="1">
        <f t="array" ref="S37">_xlfn.LET(
  _xlpm.ch, TRIM(SUBSTITUTE(G37,CHAR(160),"")),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TRIM(SUBSTITUTE(R37,CHAR(160),"")),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IF(L37="CLIENTE", O37, IF(LEFT(L37,4)="http", L37, "MACPONTA AGRO DE "&amp;L37)),
  _xlpm.paraBase, IF(M37="CLIENTE", P37, M37),
  _xlpm.paraTxt, IF(LEFT(_xlpm.paraBase,4)="http", _xlpm.paraBase, "MACPONTA AGRO DE "&amp;_xlpm.paraBase),
  _xlpm.nfParte, IF(LEN(TRIM(I37))=0, "", " -NF "&amp;TRIM(I37)),
  "- " &amp; _xlpm.tipotxt &amp; ": *" &amp; G37 &amp; "*" &amp; CHAR(13)&amp;CHAR(10) &amp;
  "- " &amp; _xlpm.dimtxt &amp; CHAR(13)&amp;CHAR(10) &amp;
  "- *Cliente*: " &amp; J37 &amp; _xlpm.nfParte &amp; CHAR(13)&amp;CHAR(10) &amp;
  "- *Obs:* " &amp; Q37 &amp; CHAR(13)&amp;CHAR(10) &amp; CHAR(10) &amp;
  "- *De*: " &amp; _xlpm.deTxt &amp; CHAR(13)&amp;CHAR(10) &amp;
  "- *Para*: " &amp; _xlpm.paraTxt &amp; CHAR(13)&amp;CHAR(10) &amp;
  "- *Ida e volta*: +/- " &amp; TEXT(((D37*1.5)/1440),"h:mm") &amp; "h | " &amp; D37 &amp; "km"
)</f>
        <v>- PLATAFORMA: *1CQFA25AES0160153*_x000D_
- A:1,60 x C:7,60 x L:1,80-1,80 x P:2.100kg_x000D_
- *Cliente*: MARCELO RIBEIRO DE NARDI -NF_x000D_
- *Obs:* DANILO - AVISAR ROITEMAN PARA ACOMPANHAR_x000D_
- *De*: MACPONTA AGRO DE PONTA GROSSA_x000D_
- *Para*: https://maps.app.goo.gl/a7As7SRaDnZSRB6c6_x000D_
- *Ida e volta*: +/- 3:30h | 140km</v>
      </c>
    </row>
    <row r="38" spans="1:19" x14ac:dyDescent="0.3">
      <c r="A38" s="16" t="s">
        <v>164</v>
      </c>
      <c r="B38" s="17" t="s">
        <v>30</v>
      </c>
      <c r="C38" s="18">
        <v>5.8333333333333334E-2</v>
      </c>
      <c r="D38" s="17">
        <v>56</v>
      </c>
      <c r="E38" s="19">
        <f t="shared" si="0"/>
        <v>392</v>
      </c>
      <c r="F38" s="20">
        <v>0</v>
      </c>
      <c r="G38" s="17" t="s">
        <v>23</v>
      </c>
      <c r="H38" s="21">
        <v>45980</v>
      </c>
      <c r="I38" s="16"/>
      <c r="J38" s="23" t="s">
        <v>29</v>
      </c>
      <c r="K38" s="17" t="s">
        <v>25</v>
      </c>
      <c r="L38" s="17" t="s">
        <v>18</v>
      </c>
      <c r="M38" s="17" t="s">
        <v>6</v>
      </c>
      <c r="N38" s="16" t="s">
        <v>26</v>
      </c>
      <c r="O38" s="23" t="s">
        <v>27</v>
      </c>
      <c r="P38" s="25" t="s">
        <v>14</v>
      </c>
      <c r="Q38" s="23" t="s">
        <v>15</v>
      </c>
      <c r="R38" s="2" t="str">
        <f t="shared" si="1"/>
        <v>7230C</v>
      </c>
      <c r="S38" s="2" t="str" cm="1">
        <f t="array" ref="S38">_xlfn.LET(
  _xlpm.ch, TRIM(SUBSTITUTE(G38,CHAR(160),"")),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TRIM(SUBSTITUTE(R38,CHAR(160),"")),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IF(L38="CLIENTE", O38, IF(LEFT(L38,4)="http", L38, "MACPONTA AGRO DE "&amp;L38)),
  _xlpm.paraBase, IF(M38="CLIENTE", P38, M38),
  _xlpm.paraTxt, IF(LEFT(_xlpm.paraBase,4)="http", _xlpm.paraBase, "MACPONTA AGRO DE "&amp;_xlpm.paraBase),
  _xlpm.nfParte, IF(LEN(TRIM(I38))=0, "", " -NF "&amp;TRIM(I38)),
  "- " &amp; _xlpm.tipotxt &amp; ": *" &amp; G38 &amp; "*" &amp; CHAR(13)&amp;CHAR(10) &amp;
  "- " &amp; _xlpm.dimtxt &amp; CHAR(13)&amp;CHAR(10) &amp;
  "- *Cliente*: " &amp; J38 &amp; _xlpm.nfParte &amp; CHAR(13)&amp;CHAR(10) &amp;
  "- *Obs:* " &amp; Q38 &amp; CHAR(13)&amp;CHAR(10) &amp; CHAR(10) &amp;
  "- *De*: " &amp; _xlpm.deTxt &amp; CHAR(13)&amp;CHAR(10) &amp;
  "- *Para*: " &amp; _xlpm.paraTxt &amp; CHAR(13)&amp;CHAR(10) &amp;
  "- *Ida e volta*: +/- " &amp; TEXT(((D38*1.5)/1440),"h:mm") &amp; "h | " &amp; D38 &amp; "km"
)</f>
        <v>- TRATOR: *1BM7230CKS3002086*_x000D_
- _x000D_
- *Cliente*: DEMO GOLF CLUBE -NF ? 16h_x000D_
- *Obs:* Silvana +55 42 9955-7892 (Golf Clube)_x000D_
- *De*: MACPONTA AGRO DE PONTA GROSSA_x000D_
- *Para*: https://maps.app.goo.gl/nPrR72QZAjPCStGf7_x000D_
- *Ida e volta*: +/- 1:24h | 56km</v>
      </c>
    </row>
    <row r="39" spans="1:19" x14ac:dyDescent="0.3">
      <c r="A39" s="16" t="s">
        <v>164</v>
      </c>
      <c r="B39" s="17" t="s">
        <v>55</v>
      </c>
      <c r="C39" s="18">
        <v>5.8333333333333334E-2</v>
      </c>
      <c r="D39" s="17">
        <v>56</v>
      </c>
      <c r="E39" s="19">
        <f t="shared" si="0"/>
        <v>392</v>
      </c>
      <c r="F39" s="20">
        <v>0</v>
      </c>
      <c r="G39" s="17" t="s">
        <v>28</v>
      </c>
      <c r="H39" s="21">
        <v>45980</v>
      </c>
      <c r="I39" s="16"/>
      <c r="J39" s="23" t="s">
        <v>29</v>
      </c>
      <c r="K39" s="17" t="s">
        <v>25</v>
      </c>
      <c r="L39" s="17" t="s">
        <v>18</v>
      </c>
      <c r="M39" s="17" t="s">
        <v>6</v>
      </c>
      <c r="N39" s="16" t="s">
        <v>26</v>
      </c>
      <c r="O39" s="23" t="s">
        <v>27</v>
      </c>
      <c r="P39" s="25" t="s">
        <v>14</v>
      </c>
      <c r="Q39" s="23" t="s">
        <v>15</v>
      </c>
      <c r="R39" s="2" t="str">
        <f t="shared" si="1"/>
        <v>7215C</v>
      </c>
      <c r="S39" s="2" t="str" cm="1">
        <f t="array" ref="S39">_xlfn.LET(
  _xlpm.ch, TRIM(SUBSTITUTE(G39,CHAR(160),"")),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TRIM(SUBSTITUTE(R39,CHAR(160),"")),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IF(L39="CLIENTE", O39, IF(LEFT(L39,4)="http", L39, "MACPONTA AGRO DE "&amp;L39)),
  _xlpm.paraBase, IF(M39="CLIENTE", P39, M39),
  _xlpm.paraTxt, IF(LEFT(_xlpm.paraBase,4)="http", _xlpm.paraBase, "MACPONTA AGRO DE "&amp;_xlpm.paraBase),
  _xlpm.nfParte, IF(LEN(TRIM(I39))=0, "", " -NF "&amp;TRIM(I39)),
  "- " &amp; _xlpm.tipotxt &amp; ": *" &amp; G39 &amp; "*" &amp; CHAR(13)&amp;CHAR(10) &amp;
  "- " &amp; _xlpm.dimtxt &amp; CHAR(13)&amp;CHAR(10) &amp;
  "- *Cliente*: " &amp; J39 &amp; _xlpm.nfParte &amp; CHAR(13)&amp;CHAR(10) &amp;
  "- *Obs:* " &amp; Q39 &amp; CHAR(13)&amp;CHAR(10) &amp; CHAR(10) &amp;
  "- *De*: " &amp; _xlpm.deTxt &amp; CHAR(13)&amp;CHAR(10) &amp;
  "- *Para*: " &amp; _xlpm.paraTxt &amp; CHAR(13)&amp;CHAR(10) &amp;
  "- *Ida e volta*: +/- " &amp; TEXT(((D39*1.5)/1440),"h:mm") &amp; "h | " &amp; D39 &amp; "km"
)</f>
        <v>- TRATOR: *1BM7215CJSH000128*_x000D_
- _x000D_
- *Cliente*: DEMO GOLF CLUBE -NF ? 16h_x000D_
- *Obs:* Silvana +55 42 9955-7892 (Golf Clube)_x000D_
- *De*: MACPONTA AGRO DE PONTA GROSSA_x000D_
- *Para*: https://maps.app.goo.gl/nPrR72QZAjPCStGf7_x000D_
- *Ida e volta*: +/- 1:24h | 56km</v>
      </c>
    </row>
    <row r="40" spans="1:19" x14ac:dyDescent="0.3">
      <c r="A40" s="16" t="s">
        <v>164</v>
      </c>
      <c r="B40" s="17" t="s">
        <v>30</v>
      </c>
      <c r="C40" s="18">
        <f>IFERROR((D40*1.5)/1440, "?")</f>
        <v>5.8333333333333334E-2</v>
      </c>
      <c r="D40" s="17">
        <v>56</v>
      </c>
      <c r="E40" s="19">
        <f t="shared" si="0"/>
        <v>392</v>
      </c>
      <c r="F40" s="20">
        <v>0</v>
      </c>
      <c r="G40" s="17" t="s">
        <v>23</v>
      </c>
      <c r="H40" s="21">
        <v>45985</v>
      </c>
      <c r="I40" s="16"/>
      <c r="J40" s="23" t="s">
        <v>24</v>
      </c>
      <c r="K40" s="17" t="s">
        <v>25</v>
      </c>
      <c r="L40" s="17" t="s">
        <v>18</v>
      </c>
      <c r="M40" s="17" t="s">
        <v>6</v>
      </c>
      <c r="N40" s="16" t="s">
        <v>26</v>
      </c>
      <c r="O40" s="23" t="s">
        <v>27</v>
      </c>
      <c r="P40" s="25" t="s">
        <v>14</v>
      </c>
      <c r="Q40" s="23" t="s">
        <v>15</v>
      </c>
      <c r="R40" s="2" t="str">
        <f t="shared" si="1"/>
        <v>7230C</v>
      </c>
      <c r="S40" s="2" t="str" cm="1">
        <f t="array" ref="S40">_xlfn.LET(
  _xlpm.ch, TRIM(SUBSTITUTE(G40,CHAR(160),"")),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TRIM(SUBSTITUTE(R40,CHAR(160),"")),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IF(L40="CLIENTE", O40, IF(LEFT(L40,4)="http", L40, "MACPONTA AGRO DE "&amp;L40)),
  _xlpm.paraBase, IF(M40="CLIENTE", P40, M40),
  _xlpm.paraTxt, IF(LEFT(_xlpm.paraBase,4)="http", _xlpm.paraBase, "MACPONTA AGRO DE "&amp;_xlpm.paraBase),
  _xlpm.nfParte, IF(LEN(TRIM(I40))=0, "", " -NF "&amp;TRIM(I40)),
  "- " &amp; _xlpm.tipotxt &amp; ": *" &amp; G40 &amp; "*" &amp; CHAR(13)&amp;CHAR(10) &amp;
  "- " &amp; _xlpm.dimtxt &amp; CHAR(13)&amp;CHAR(10) &amp;
  "- *Cliente*: " &amp; J40 &amp; _xlpm.nfParte &amp; CHAR(13)&amp;CHAR(10) &amp;
  "- *Obs:* " &amp; Q40 &amp; CHAR(13)&amp;CHAR(10) &amp; CHAR(10) &amp;
  "- *De*: " &amp; _xlpm.deTxt &amp; CHAR(13)&amp;CHAR(10) &amp;
  "- *Para*: " &amp; _xlpm.paraTxt &amp; CHAR(13)&amp;CHAR(10) &amp;
  "- *Ida e volta*: +/- " &amp; TEXT(((D40*1.5)/1440),"h:mm") &amp; "h | " &amp; D40 &amp; "km"
)</f>
        <v>- TRATOR: *1BM7230CKS3002086*_x000D_
- _x000D_
- *Cliente*: DEMO GOLF CLUBE -NF ? volta_x000D_
- *Obs:* Silvana +55 42 9955-7892 (Golf Clube)_x000D_
- *De*: MACPONTA AGRO DE PONTA GROSSA_x000D_
- *Para*: https://maps.app.goo.gl/nPrR72QZAjPCStGf7_x000D_
- *Ida e volta*: +/- 1:24h | 56km</v>
      </c>
    </row>
    <row r="41" spans="1:19" x14ac:dyDescent="0.3">
      <c r="A41" s="16" t="s">
        <v>164</v>
      </c>
      <c r="B41" s="17" t="s">
        <v>55</v>
      </c>
      <c r="C41" s="18">
        <v>5.8333333333333334E-2</v>
      </c>
      <c r="D41" s="17">
        <v>56</v>
      </c>
      <c r="E41" s="19">
        <f t="shared" si="0"/>
        <v>392</v>
      </c>
      <c r="F41" s="20">
        <v>0</v>
      </c>
      <c r="G41" s="17" t="s">
        <v>28</v>
      </c>
      <c r="H41" s="21">
        <v>45985</v>
      </c>
      <c r="I41" s="16"/>
      <c r="J41" s="23" t="s">
        <v>24</v>
      </c>
      <c r="K41" s="17" t="s">
        <v>25</v>
      </c>
      <c r="L41" s="17" t="s">
        <v>18</v>
      </c>
      <c r="M41" s="17" t="s">
        <v>6</v>
      </c>
      <c r="N41" s="16" t="s">
        <v>26</v>
      </c>
      <c r="O41" s="23" t="s">
        <v>27</v>
      </c>
      <c r="P41" s="25" t="s">
        <v>14</v>
      </c>
      <c r="Q41" s="23" t="s">
        <v>15</v>
      </c>
      <c r="R41" s="2" t="str">
        <f t="shared" si="1"/>
        <v>7215C</v>
      </c>
      <c r="S41" s="2" t="str" cm="1">
        <f t="array" ref="S41">_xlfn.LET(
  _xlpm.ch, TRIM(SUBSTITUTE(G41,CHAR(160),"")),
  _xlpm.ehTrator, OR(IFERROR(FIND("BM",_xlpm.ch),0)&gt;0, IFERROR(FIND("PY",_xlpm.ch),0)&gt;0),
  _xlpm.chave, IF(_xlpm.ehTrator, MID(_xlpm.ch,4,5), MID(_xlpm.ch,4,4)),
  _xlpm.fonte, IF(LEN(_xlpm.chave)=5, UTIL!BV:BV, UTIL!BU:BU),
  _xlpm.modelo, TRIM(SUBSTITUTE(R41,CHAR(160),"")),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UTIL!BS:BS, "", 0),
                 IFERROR(_xlfn.XLOOKUP("*"&amp;_xlpm.chave&amp;"*", _xlpm.fonte, UTIL!BS:BS, "", 2), "Não encontrado"))),
  _xlpm.dimtxt_antigo, IFERROR(_xlfn.XLOOKUP(_xlpm.chave, _xlpm.fonte, UTIL!CB:CB, "", 0),
                 IFERROR(_xlfn.XLOOKUP("*"&amp;_xlpm.chave&amp;"*", _xlpm.fonte, UTIL!CB:CB, "", 2), "Não encontrado")),
  _xlpm.tipotxt, IF(_xlpm.tipoMod&lt;&gt;"", _xlpm.tipoMod, _xlpm.tipotxt_antigo),
  _xlpm.dimtxt,  IF(_xlpm.dimMod&lt;&gt;"", _xlpm.dimMod, _xlpm.dimtxt_antigo),
  _xlpm.deTxt, IF(L41="CLIENTE", O41, IF(LEFT(L41,4)="http", L41, "MACPONTA AGRO DE "&amp;L41)),
  _xlpm.paraBase, IF(M41="CLIENTE", P41, M41),
  _xlpm.paraTxt, IF(LEFT(_xlpm.paraBase,4)="http", _xlpm.paraBase, "MACPONTA AGRO DE "&amp;_xlpm.paraBase),
  _xlpm.nfParte, IF(LEN(TRIM(I41))=0, "", " -NF "&amp;TRIM(I41)),
  "- " &amp; _xlpm.tipotxt &amp; ": *" &amp; G41 &amp; "*" &amp; CHAR(13)&amp;CHAR(10) &amp;
  "- " &amp; _xlpm.dimtxt &amp; CHAR(13)&amp;CHAR(10) &amp;
  "- *Cliente*: " &amp; J41 &amp; _xlpm.nfParte &amp; CHAR(13)&amp;CHAR(10) &amp;
  "- *Obs:* " &amp; Q41 &amp; CHAR(13)&amp;CHAR(10) &amp; CHAR(10) &amp;
  "- *De*: " &amp; _xlpm.deTxt &amp; CHAR(13)&amp;CHAR(10) &amp;
  "- *Para*: " &amp; _xlpm.paraTxt &amp; CHAR(13)&amp;CHAR(10) &amp;
  "- *Ida e volta*: +/- " &amp; TEXT(((D41*1.5)/1440),"h:mm") &amp; "h | " &amp; D41 &amp; "km"
)</f>
        <v>- TRATOR: *1BM7215CJSH000128*_x000D_
- _x000D_
- *Cliente*: DEMO GOLF CLUBE -NF ? volta_x000D_
- *Obs:* Silvana +55 42 9955-7892 (Golf Clube)_x000D_
- *De*: MACPONTA AGRO DE PONTA GROSSA_x000D_
- *Para*: https://maps.app.goo.gl/nPrR72QZAjPCStGf7_x000D_
- *Ida e volta*: +/- 1:24h | 56km</v>
      </c>
    </row>
    <row r="43" spans="1:19" x14ac:dyDescent="0.3">
      <c r="A43" s="26" t="s">
        <v>1084</v>
      </c>
    </row>
    <row r="44" spans="1:19" x14ac:dyDescent="0.3">
      <c r="A44" s="26" t="s">
        <v>160</v>
      </c>
    </row>
    <row r="45" spans="1:19" x14ac:dyDescent="0.3">
      <c r="A45" s="26" t="s">
        <v>1085</v>
      </c>
    </row>
    <row r="46" spans="1:19" x14ac:dyDescent="0.3">
      <c r="A46" s="26" t="s">
        <v>1086</v>
      </c>
    </row>
    <row r="47" spans="1:19" x14ac:dyDescent="0.3">
      <c r="A47" s="26" t="s">
        <v>164</v>
      </c>
    </row>
  </sheetData>
  <conditionalFormatting sqref="A2:Q999">
    <cfRule type="expression" dxfId="18" priority="1">
      <formula>$A2="CONCLUIDO"</formula>
    </cfRule>
    <cfRule type="expression" dxfId="17" priority="2">
      <formula>MID(TRIM($A2), LEN(TRIM($A2))-2, 3)="(D)"</formula>
    </cfRule>
    <cfRule type="expression" dxfId="16" priority="3">
      <formula>AND(INT($H2)=TODAY()+1, COUNTIF($A2:$A2,"CONCLUIDO*")+COUNTIF($A2:$A2,"CONCLUÍDO*")=0)</formula>
    </cfRule>
    <cfRule type="expression" dxfId="15" priority="4">
      <formula>AND(INT($H2)=TODAY(), COUNTIF($A2:$A2,"CONCLUIDO*")+COUNTIF($A2:$A2,"CONCLUÍDO*")=0)</formula>
    </cfRule>
    <cfRule type="expression" dxfId="14" priority="5">
      <formula>$A2="RECEBIDO"</formula>
    </cfRule>
    <cfRule type="expression" dxfId="13" priority="6">
      <formula>$A2="EM ROTA"</formula>
    </cfRule>
    <cfRule type="expression" dxfId="12" priority="7">
      <formula>$A2="RECEBIDO (D)"</formula>
    </cfRule>
    <cfRule type="expression" dxfId="11" priority="9">
      <formula>$A2="SUSPENSO"</formula>
    </cfRule>
    <cfRule type="expression" dxfId="10" priority="10">
      <formula>$A2="PROGRAMADO (D)"</formula>
    </cfRule>
    <cfRule type="expression" dxfId="9" priority="11">
      <formula>$A2="PROGRAMADO"</formula>
    </cfRule>
    <cfRule type="expression" dxfId="8" priority="12">
      <formula>$A2="CONCLUIDO (D)"</formula>
    </cfRule>
    <cfRule type="expression" dxfId="7" priority="13">
      <formula>$A2="CONCLUIDO"</formula>
    </cfRule>
  </conditionalFormatting>
  <dataValidations count="1">
    <dataValidation type="list" allowBlank="1" showInputMessage="1" showErrorMessage="1" sqref="A2:A1048576" xr:uid="{B663DAB8-B20E-4C2E-A0A7-AD68EAE98763}">
      <formula1>"RECEBIDO, PROGRAMADO, EM ROTA, CONCLUIDO, SUSPENSO, RECEBIDO (D), PROGRAMADO (D), CONCLUIDO (D)"</formula1>
    </dataValidation>
  </dataValidations>
  <hyperlinks>
    <hyperlink ref="P27" r:id="rId1" xr:uid="{75EA1572-4E70-4368-9024-D36A5031CF77}"/>
    <hyperlink ref="P28" r:id="rId2" xr:uid="{435849A8-839C-43A0-9267-3B1454FD6773}"/>
    <hyperlink ref="P19" r:id="rId3" xr:uid="{A6333FCA-E19F-43A3-950F-A308342CB5DD}"/>
    <hyperlink ref="O31" r:id="rId4" xr:uid="{C0918EF2-2671-4F78-B591-20D1DC456C4E}"/>
    <hyperlink ref="P32" r:id="rId5" xr:uid="{D5B5386C-AFCF-405F-B3F3-459AA642F2A9}"/>
    <hyperlink ref="P18" r:id="rId6" xr:uid="{31CD4452-56FC-4F33-99C1-021BEE35F71F}"/>
    <hyperlink ref="O2" r:id="rId7" xr:uid="{4A47B6B5-05B6-4FD2-8E18-430E1F960A69}"/>
    <hyperlink ref="P3" r:id="rId8" xr:uid="{2A6D3CC1-EA49-4F77-A043-5FC210C3BD02}"/>
    <hyperlink ref="P4" r:id="rId9" xr:uid="{C1AEFEB4-9C29-429C-8EEC-AAFC0B6CDFBB}"/>
    <hyperlink ref="P26" r:id="rId10" xr:uid="{5B4D843B-82B6-4F9B-8F0A-834801B5E06F}"/>
    <hyperlink ref="P5" r:id="rId11" xr:uid="{D68746AF-56C7-464A-9E01-B0AAC1599751}"/>
    <hyperlink ref="P6" r:id="rId12" xr:uid="{ADE12B44-2900-4C30-B47E-F03F78CA75BC}"/>
    <hyperlink ref="P15" r:id="rId13" xr:uid="{07D0604E-38E9-4ABE-96F7-184A04908147}"/>
    <hyperlink ref="O11" r:id="rId14" xr:uid="{F9A9E001-FEF5-40F0-8838-3469A37D429E}"/>
  </hyperlinks>
  <pageMargins left="0.511811024" right="0.511811024" top="0.78740157499999996" bottom="0.78740157499999996" header="0.31496062000000002" footer="0.31496062000000002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48BF-B06E-4EA7-9CD1-8D61B74832D2}">
  <sheetPr>
    <tabColor theme="2" tint="-0.89999084444715716"/>
  </sheetPr>
  <dimension ref="A1:O3"/>
  <sheetViews>
    <sheetView showGridLines="0" workbookViewId="0">
      <pane ySplit="1" topLeftCell="A2" activePane="bottomLeft" state="frozen"/>
      <selection pane="bottomLeft" activeCell="B26" sqref="B26"/>
    </sheetView>
  </sheetViews>
  <sheetFormatPr defaultColWidth="0" defaultRowHeight="14.4" x14ac:dyDescent="0.3"/>
  <cols>
    <col min="1" max="15" width="12" style="1" customWidth="1"/>
    <col min="16" max="16384" width="12" style="1" hidden="1"/>
  </cols>
  <sheetData>
    <row r="1" spans="1:15" s="6" customFormat="1" ht="43.2" x14ac:dyDescent="0.3">
      <c r="A1" s="5" t="s">
        <v>0</v>
      </c>
      <c r="B1" s="6" t="s">
        <v>7</v>
      </c>
      <c r="C1" s="6" t="s">
        <v>168</v>
      </c>
      <c r="D1" s="6" t="s">
        <v>180</v>
      </c>
      <c r="E1" s="5" t="s">
        <v>169</v>
      </c>
      <c r="F1" s="6" t="s">
        <v>170</v>
      </c>
      <c r="G1" s="6" t="s">
        <v>171</v>
      </c>
      <c r="H1" s="6" t="s">
        <v>172</v>
      </c>
      <c r="I1" s="6" t="s">
        <v>173</v>
      </c>
      <c r="J1" s="6" t="s">
        <v>179</v>
      </c>
      <c r="K1" s="5" t="s">
        <v>178</v>
      </c>
      <c r="L1" s="6" t="s">
        <v>174</v>
      </c>
      <c r="M1" s="6" t="s">
        <v>175</v>
      </c>
      <c r="N1" s="6" t="s">
        <v>176</v>
      </c>
      <c r="O1" s="6" t="s">
        <v>177</v>
      </c>
    </row>
    <row r="2" spans="1:15" x14ac:dyDescent="0.3">
      <c r="A2" s="4" t="s">
        <v>161</v>
      </c>
      <c r="E2" s="4"/>
      <c r="K2" s="4"/>
    </row>
    <row r="3" spans="1:15" x14ac:dyDescent="0.3">
      <c r="A3" s="4" t="s">
        <v>181</v>
      </c>
      <c r="E3" s="4"/>
      <c r="K3" s="4"/>
    </row>
  </sheetData>
  <conditionalFormatting sqref="A2:O9998">
    <cfRule type="expression" dxfId="6" priority="1">
      <formula>$A2="REGISTRADO"</formula>
    </cfRule>
    <cfRule type="expression" dxfId="5" priority="2">
      <formula>$A2="CONCLUIDO"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4710-2411-4209-A28C-97528ADCB3CB}">
  <sheetPr>
    <tabColor rgb="FF002060"/>
  </sheetPr>
  <dimension ref="A1:E58"/>
  <sheetViews>
    <sheetView showGridLines="0" workbookViewId="0">
      <selection activeCell="F15" sqref="F15"/>
    </sheetView>
  </sheetViews>
  <sheetFormatPr defaultRowHeight="14.4" x14ac:dyDescent="0.3"/>
  <cols>
    <col min="1" max="1" width="24.33203125" bestFit="1" customWidth="1"/>
    <col min="2" max="2" width="22.77734375" bestFit="1" customWidth="1"/>
    <col min="3" max="3" width="42.109375" bestFit="1" customWidth="1"/>
    <col min="5" max="5" width="15.77734375" bestFit="1" customWidth="1"/>
  </cols>
  <sheetData>
    <row r="1" spans="1:5" x14ac:dyDescent="0.3">
      <c r="A1" s="44" t="s">
        <v>662</v>
      </c>
      <c r="B1" s="44" t="s">
        <v>663</v>
      </c>
      <c r="C1" s="44" t="s">
        <v>664</v>
      </c>
    </row>
    <row r="2" spans="1:5" x14ac:dyDescent="0.3">
      <c r="A2" s="56" t="s">
        <v>665</v>
      </c>
      <c r="B2" s="56" t="s">
        <v>666</v>
      </c>
      <c r="C2" s="56" t="s">
        <v>667</v>
      </c>
    </row>
    <row r="3" spans="1:5" ht="18" x14ac:dyDescent="0.35">
      <c r="A3" s="56" t="s">
        <v>668</v>
      </c>
      <c r="B3" s="57" t="s">
        <v>669</v>
      </c>
      <c r="C3" s="57" t="s">
        <v>670</v>
      </c>
      <c r="E3" s="92" t="s">
        <v>1083</v>
      </c>
    </row>
    <row r="4" spans="1:5" x14ac:dyDescent="0.3">
      <c r="A4" s="56" t="s">
        <v>671</v>
      </c>
      <c r="B4" s="57">
        <v>2010</v>
      </c>
      <c r="C4" s="57">
        <v>2022</v>
      </c>
    </row>
    <row r="5" spans="1:5" x14ac:dyDescent="0.3">
      <c r="A5" s="56" t="s">
        <v>672</v>
      </c>
      <c r="B5" s="57" t="s">
        <v>673</v>
      </c>
      <c r="C5" s="57" t="s">
        <v>673</v>
      </c>
    </row>
    <row r="6" spans="1:5" x14ac:dyDescent="0.3">
      <c r="A6" s="56" t="s">
        <v>674</v>
      </c>
      <c r="B6" s="57" t="s">
        <v>675</v>
      </c>
      <c r="C6" s="57" t="s">
        <v>675</v>
      </c>
    </row>
    <row r="7" spans="1:5" x14ac:dyDescent="0.3">
      <c r="A7" s="56" t="s">
        <v>184</v>
      </c>
      <c r="B7" s="57" t="s">
        <v>676</v>
      </c>
      <c r="C7" s="58" t="s">
        <v>677</v>
      </c>
    </row>
    <row r="8" spans="1:5" x14ac:dyDescent="0.3">
      <c r="A8" s="56" t="s">
        <v>678</v>
      </c>
      <c r="B8" s="57">
        <v>320</v>
      </c>
      <c r="C8" s="57">
        <v>410</v>
      </c>
    </row>
    <row r="9" spans="1:5" x14ac:dyDescent="0.3">
      <c r="A9" s="56" t="s">
        <v>679</v>
      </c>
      <c r="B9" s="57">
        <v>45</v>
      </c>
      <c r="C9" s="57">
        <v>45</v>
      </c>
    </row>
    <row r="10" spans="1:5" x14ac:dyDescent="0.3">
      <c r="A10" s="56" t="s">
        <v>680</v>
      </c>
      <c r="B10" s="57">
        <v>23</v>
      </c>
      <c r="C10" s="57">
        <v>29</v>
      </c>
    </row>
    <row r="11" spans="1:5" x14ac:dyDescent="0.3">
      <c r="A11" s="56" t="s">
        <v>681</v>
      </c>
      <c r="B11" s="57">
        <v>128</v>
      </c>
      <c r="C11" s="57">
        <v>140</v>
      </c>
    </row>
    <row r="12" spans="1:5" x14ac:dyDescent="0.3">
      <c r="A12" s="56" t="s">
        <v>682</v>
      </c>
      <c r="B12" s="57">
        <v>495</v>
      </c>
      <c r="C12" s="57">
        <v>495</v>
      </c>
    </row>
    <row r="13" spans="1:5" x14ac:dyDescent="0.3">
      <c r="A13" s="56" t="s">
        <v>683</v>
      </c>
      <c r="B13" s="57">
        <v>32</v>
      </c>
      <c r="C13" s="57">
        <v>32</v>
      </c>
    </row>
    <row r="14" spans="1:5" x14ac:dyDescent="0.3">
      <c r="A14" s="56" t="s">
        <v>684</v>
      </c>
      <c r="B14" s="57">
        <v>60</v>
      </c>
      <c r="C14" s="57">
        <v>60</v>
      </c>
    </row>
    <row r="15" spans="1:5" x14ac:dyDescent="0.3">
      <c r="A15" s="56" t="s">
        <v>685</v>
      </c>
      <c r="B15" s="57" t="s">
        <v>686</v>
      </c>
      <c r="C15" s="57" t="s">
        <v>687</v>
      </c>
    </row>
    <row r="16" spans="1:5" x14ac:dyDescent="0.3">
      <c r="A16" s="56" t="s">
        <v>688</v>
      </c>
      <c r="B16" s="59">
        <v>252400</v>
      </c>
      <c r="C16" s="59">
        <v>895000</v>
      </c>
    </row>
    <row r="17" spans="1:3" x14ac:dyDescent="0.3">
      <c r="A17" s="56" t="s">
        <v>689</v>
      </c>
      <c r="B17" s="59">
        <v>67300</v>
      </c>
      <c r="C17" s="59">
        <v>120000</v>
      </c>
    </row>
    <row r="18" spans="1:3" x14ac:dyDescent="0.3">
      <c r="A18" s="56" t="s">
        <v>690</v>
      </c>
      <c r="B18" s="60">
        <v>319700</v>
      </c>
      <c r="C18" s="60">
        <v>1015000</v>
      </c>
    </row>
    <row r="19" spans="1:3" x14ac:dyDescent="0.3">
      <c r="A19" s="61"/>
      <c r="B19" s="45"/>
      <c r="C19" s="45"/>
    </row>
    <row r="20" spans="1:3" x14ac:dyDescent="0.3">
      <c r="A20" s="56"/>
      <c r="B20" s="57" t="s">
        <v>666</v>
      </c>
      <c r="C20" s="62" t="s">
        <v>667</v>
      </c>
    </row>
    <row r="21" spans="1:3" x14ac:dyDescent="0.3">
      <c r="A21" s="46"/>
      <c r="B21" s="63" t="s">
        <v>691</v>
      </c>
      <c r="C21" s="63" t="s">
        <v>692</v>
      </c>
    </row>
    <row r="22" spans="1:3" x14ac:dyDescent="0.3">
      <c r="A22" s="46"/>
      <c r="B22" s="64" t="s">
        <v>693</v>
      </c>
      <c r="C22" s="63" t="s">
        <v>693</v>
      </c>
    </row>
    <row r="23" spans="1:3" x14ac:dyDescent="0.3">
      <c r="A23" s="46"/>
      <c r="B23" s="3"/>
      <c r="C23" s="64"/>
    </row>
    <row r="24" spans="1:3" x14ac:dyDescent="0.3">
      <c r="A24" s="46"/>
      <c r="B24" s="57"/>
      <c r="C24" s="59" t="s">
        <v>694</v>
      </c>
    </row>
    <row r="25" spans="1:3" x14ac:dyDescent="0.3">
      <c r="A25" s="46"/>
      <c r="B25" s="57"/>
      <c r="C25" s="59" t="s">
        <v>695</v>
      </c>
    </row>
    <row r="26" spans="1:3" x14ac:dyDescent="0.3">
      <c r="A26" s="46"/>
      <c r="B26" s="57"/>
      <c r="C26" s="57" t="s">
        <v>693</v>
      </c>
    </row>
    <row r="27" spans="1:3" x14ac:dyDescent="0.3">
      <c r="A27" s="46"/>
      <c r="B27" s="57"/>
      <c r="C27" s="57"/>
    </row>
    <row r="28" spans="1:3" x14ac:dyDescent="0.3">
      <c r="A28" s="97" t="s">
        <v>696</v>
      </c>
      <c r="B28" s="98"/>
      <c r="C28" s="99"/>
    </row>
    <row r="29" spans="1:3" x14ac:dyDescent="0.3">
      <c r="A29" s="97" t="s">
        <v>697</v>
      </c>
      <c r="B29" s="98"/>
      <c r="C29" s="99"/>
    </row>
    <row r="30" spans="1:3" x14ac:dyDescent="0.3">
      <c r="A30" s="97" t="s">
        <v>698</v>
      </c>
      <c r="B30" s="98"/>
      <c r="C30" s="99"/>
    </row>
    <row r="31" spans="1:3" x14ac:dyDescent="0.3">
      <c r="A31" s="97" t="s">
        <v>699</v>
      </c>
      <c r="B31" s="98"/>
      <c r="C31" s="99"/>
    </row>
    <row r="32" spans="1:3" x14ac:dyDescent="0.3">
      <c r="A32" s="97" t="s">
        <v>700</v>
      </c>
      <c r="B32" s="98"/>
      <c r="C32" s="99"/>
    </row>
    <row r="33" spans="1:3" x14ac:dyDescent="0.3">
      <c r="A33" s="47"/>
      <c r="B33" s="48"/>
      <c r="C33" s="49"/>
    </row>
    <row r="34" spans="1:3" x14ac:dyDescent="0.3">
      <c r="A34" s="65" t="s">
        <v>701</v>
      </c>
      <c r="B34" s="65" t="s">
        <v>702</v>
      </c>
      <c r="C34" s="65" t="s">
        <v>703</v>
      </c>
    </row>
    <row r="35" spans="1:3" x14ac:dyDescent="0.3">
      <c r="A35" s="66" t="s">
        <v>704</v>
      </c>
      <c r="B35" s="66">
        <v>11307</v>
      </c>
      <c r="C35" s="66">
        <v>11307</v>
      </c>
    </row>
    <row r="36" spans="1:3" x14ac:dyDescent="0.3">
      <c r="A36" s="66" t="s">
        <v>705</v>
      </c>
      <c r="B36" s="50" t="s">
        <v>706</v>
      </c>
      <c r="C36" s="66" t="s">
        <v>707</v>
      </c>
    </row>
    <row r="37" spans="1:3" x14ac:dyDescent="0.3">
      <c r="A37" s="51" t="s">
        <v>708</v>
      </c>
      <c r="B37" s="50" t="s">
        <v>706</v>
      </c>
      <c r="C37" s="66" t="s">
        <v>709</v>
      </c>
    </row>
    <row r="38" spans="1:3" x14ac:dyDescent="0.3">
      <c r="A38" s="51" t="s">
        <v>710</v>
      </c>
      <c r="B38" s="52" t="s">
        <v>711</v>
      </c>
      <c r="C38" s="53" t="s">
        <v>712</v>
      </c>
    </row>
    <row r="39" spans="1:3" x14ac:dyDescent="0.3">
      <c r="A39" s="54" t="s">
        <v>713</v>
      </c>
      <c r="B39" s="55" t="s">
        <v>714</v>
      </c>
      <c r="C39" s="67"/>
    </row>
    <row r="40" spans="1:3" x14ac:dyDescent="0.3">
      <c r="A40" s="48"/>
      <c r="B40" s="48"/>
      <c r="C40" s="48"/>
    </row>
    <row r="41" spans="1:3" x14ac:dyDescent="0.3">
      <c r="A41" s="94" t="s">
        <v>715</v>
      </c>
      <c r="B41" s="95"/>
      <c r="C41" s="96"/>
    </row>
    <row r="42" spans="1:3" x14ac:dyDescent="0.3">
      <c r="A42" s="94" t="s">
        <v>716</v>
      </c>
      <c r="B42" s="95"/>
      <c r="C42" s="96"/>
    </row>
    <row r="43" spans="1:3" x14ac:dyDescent="0.3">
      <c r="A43" s="48"/>
      <c r="B43" s="48"/>
      <c r="C43" s="48"/>
    </row>
    <row r="44" spans="1:3" x14ac:dyDescent="0.3">
      <c r="A44" s="44" t="s">
        <v>662</v>
      </c>
      <c r="B44" s="44" t="s">
        <v>663</v>
      </c>
      <c r="C44" s="44" t="s">
        <v>664</v>
      </c>
    </row>
    <row r="45" spans="1:3" x14ac:dyDescent="0.3">
      <c r="A45" s="61" t="s">
        <v>717</v>
      </c>
      <c r="B45" s="45" t="s">
        <v>691</v>
      </c>
      <c r="C45" s="45" t="s">
        <v>718</v>
      </c>
    </row>
    <row r="46" spans="1:3" x14ac:dyDescent="0.3">
      <c r="A46" s="56" t="s">
        <v>719</v>
      </c>
      <c r="B46" s="62" t="s">
        <v>720</v>
      </c>
      <c r="C46" s="62" t="s">
        <v>721</v>
      </c>
    </row>
    <row r="47" spans="1:3" x14ac:dyDescent="0.3">
      <c r="A47" s="56" t="s">
        <v>722</v>
      </c>
      <c r="B47" s="57" t="s">
        <v>720</v>
      </c>
      <c r="C47" s="63">
        <v>44931</v>
      </c>
    </row>
    <row r="48" spans="1:3" x14ac:dyDescent="0.3">
      <c r="A48" s="56" t="s">
        <v>723</v>
      </c>
      <c r="B48" s="63">
        <v>44931</v>
      </c>
      <c r="C48" s="63">
        <v>44931</v>
      </c>
    </row>
    <row r="49" spans="1:3" x14ac:dyDescent="0.3">
      <c r="A49" s="56" t="s">
        <v>724</v>
      </c>
      <c r="B49" s="64">
        <v>152362</v>
      </c>
      <c r="C49" s="64">
        <v>476464</v>
      </c>
    </row>
    <row r="50" spans="1:3" x14ac:dyDescent="0.3">
      <c r="A50" s="56" t="s">
        <v>725</v>
      </c>
      <c r="B50" s="57" t="s">
        <v>720</v>
      </c>
      <c r="C50" s="59">
        <v>7.58</v>
      </c>
    </row>
    <row r="51" spans="1:3" x14ac:dyDescent="0.3">
      <c r="A51" s="56" t="s">
        <v>726</v>
      </c>
      <c r="B51" s="57" t="s">
        <v>720</v>
      </c>
      <c r="C51" s="59">
        <v>6821.34</v>
      </c>
    </row>
    <row r="52" spans="1:3" x14ac:dyDescent="0.3">
      <c r="A52" s="56" t="s">
        <v>727</v>
      </c>
      <c r="B52" s="57" t="s">
        <v>728</v>
      </c>
      <c r="C52" s="57" t="s">
        <v>729</v>
      </c>
    </row>
    <row r="53" spans="1:3" x14ac:dyDescent="0.3">
      <c r="A53" s="56" t="s">
        <v>730</v>
      </c>
      <c r="B53" s="57" t="s">
        <v>731</v>
      </c>
      <c r="C53" s="57" t="s">
        <v>731</v>
      </c>
    </row>
    <row r="54" spans="1:3" x14ac:dyDescent="0.3">
      <c r="A54" s="56" t="s">
        <v>732</v>
      </c>
      <c r="B54" s="57"/>
      <c r="C54" s="59"/>
    </row>
    <row r="55" spans="1:3" x14ac:dyDescent="0.3">
      <c r="A55" s="56" t="s">
        <v>733</v>
      </c>
      <c r="B55" s="57"/>
      <c r="C55" s="59"/>
    </row>
    <row r="56" spans="1:3" x14ac:dyDescent="0.3">
      <c r="A56" s="56" t="s">
        <v>734</v>
      </c>
      <c r="B56" s="57"/>
      <c r="C56" s="59"/>
    </row>
    <row r="57" spans="1:3" x14ac:dyDescent="0.3">
      <c r="A57" s="56" t="s">
        <v>735</v>
      </c>
      <c r="B57" s="57"/>
      <c r="C57" s="68"/>
    </row>
    <row r="58" spans="1:3" x14ac:dyDescent="0.3">
      <c r="A58" s="56" t="s">
        <v>736</v>
      </c>
      <c r="B58" s="57"/>
      <c r="C58" s="59"/>
    </row>
  </sheetData>
  <mergeCells count="7">
    <mergeCell ref="A42:C42"/>
    <mergeCell ref="A28:C28"/>
    <mergeCell ref="A29:C29"/>
    <mergeCell ref="A30:C30"/>
    <mergeCell ref="A31:C31"/>
    <mergeCell ref="A32:C32"/>
    <mergeCell ref="A41:C4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A86D-7E0F-4C06-803B-01FF5FF005D8}">
  <sheetPr>
    <tabColor theme="9" tint="-0.499984740745262"/>
  </sheetPr>
  <dimension ref="A1:N47"/>
  <sheetViews>
    <sheetView showGridLines="0" zoomScaleNormal="100" workbookViewId="0">
      <pane ySplit="1" topLeftCell="A2" activePane="bottomLeft" state="frozen"/>
      <selection pane="bottomLeft" activeCell="L12" sqref="L12"/>
    </sheetView>
  </sheetViews>
  <sheetFormatPr defaultColWidth="0" defaultRowHeight="14.4" x14ac:dyDescent="0.3"/>
  <cols>
    <col min="1" max="1" width="14.77734375" style="30" bestFit="1" customWidth="1"/>
    <col min="2" max="2" width="8.21875" style="30" bestFit="1" customWidth="1"/>
    <col min="3" max="3" width="10.33203125" style="31" bestFit="1" customWidth="1"/>
    <col min="4" max="4" width="8.6640625" style="30" bestFit="1" customWidth="1"/>
    <col min="5" max="5" width="10" style="30" bestFit="1" customWidth="1"/>
    <col min="6" max="6" width="21" style="32" bestFit="1" customWidth="1"/>
    <col min="7" max="7" width="10.5546875" style="33" bestFit="1" customWidth="1"/>
    <col min="8" max="8" width="12.21875" style="30" bestFit="1" customWidth="1"/>
    <col min="9" max="9" width="10.44140625" style="32" bestFit="1" customWidth="1"/>
    <col min="10" max="10" width="11.21875" style="31" bestFit="1" customWidth="1"/>
    <col min="11" max="11" width="24.77734375" style="32" customWidth="1"/>
    <col min="12" max="12" width="44.77734375" style="32" customWidth="1"/>
    <col min="13" max="13" width="7.5546875" style="30" hidden="1" customWidth="1"/>
    <col min="14" max="14" width="22.6640625" style="30" hidden="1" customWidth="1"/>
    <col min="15" max="16384" width="8.88671875" style="30" hidden="1"/>
  </cols>
  <sheetData>
    <row r="1" spans="1:12" x14ac:dyDescent="0.3">
      <c r="A1" s="36" t="s">
        <v>10</v>
      </c>
      <c r="B1" s="30" t="s">
        <v>185</v>
      </c>
      <c r="C1" s="31" t="s">
        <v>20</v>
      </c>
      <c r="D1" s="30" t="s">
        <v>186</v>
      </c>
      <c r="E1" s="30" t="s">
        <v>187</v>
      </c>
      <c r="F1" s="32" t="s">
        <v>188</v>
      </c>
      <c r="G1" s="33" t="s">
        <v>17</v>
      </c>
      <c r="H1" s="36" t="s">
        <v>189</v>
      </c>
      <c r="I1" s="32" t="s">
        <v>190</v>
      </c>
      <c r="J1" s="31" t="s">
        <v>191</v>
      </c>
      <c r="K1" s="35" t="s">
        <v>13</v>
      </c>
      <c r="L1" s="32" t="s">
        <v>192</v>
      </c>
    </row>
    <row r="2" spans="1:12" x14ac:dyDescent="0.3">
      <c r="A2" s="36" t="s">
        <v>193</v>
      </c>
      <c r="B2" s="30" t="s">
        <v>16</v>
      </c>
      <c r="C2" s="31">
        <v>45964</v>
      </c>
      <c r="D2" s="30" t="s">
        <v>194</v>
      </c>
      <c r="E2" s="30" t="s">
        <v>195</v>
      </c>
      <c r="F2" s="32" t="s">
        <v>196</v>
      </c>
      <c r="G2" s="33">
        <v>1100</v>
      </c>
      <c r="H2" s="36" t="s">
        <v>197</v>
      </c>
      <c r="I2" s="32">
        <v>2967</v>
      </c>
      <c r="J2" s="31">
        <v>45965</v>
      </c>
      <c r="K2" s="35" t="s">
        <v>198</v>
      </c>
      <c r="L2" s="32" t="str">
        <f t="shared" ref="L2:L43" si="0">TEXT($C2,"dd.mm") &amp; " -Ped " &amp; D2 &amp; " -" &amp; F2 &amp; " -R$" &amp; G2 &amp; IF(LEN(TRIM(I2))=0, "", " -NF " &amp; TRIM(I2))</f>
        <v>03.11 -Ped 047186 -ESC TRANSPORTES -R$1100 -NF 2967</v>
      </c>
    </row>
    <row r="3" spans="1:12" x14ac:dyDescent="0.3">
      <c r="A3" s="36" t="s">
        <v>193</v>
      </c>
      <c r="B3" s="30" t="s">
        <v>21</v>
      </c>
      <c r="C3" s="31">
        <v>45964</v>
      </c>
      <c r="D3" s="30" t="s">
        <v>199</v>
      </c>
      <c r="E3" s="30" t="s">
        <v>195</v>
      </c>
      <c r="F3" s="32" t="s">
        <v>196</v>
      </c>
      <c r="G3" s="33">
        <v>550</v>
      </c>
      <c r="H3" s="36" t="s">
        <v>197</v>
      </c>
      <c r="I3" s="32">
        <v>2965</v>
      </c>
      <c r="J3" s="31">
        <v>45965</v>
      </c>
      <c r="K3" s="35" t="s">
        <v>198</v>
      </c>
      <c r="L3" s="32" t="str">
        <f t="shared" si="0"/>
        <v>03.11 -Ped 047187 -ESC TRANSPORTES -R$550 -NF 2965</v>
      </c>
    </row>
    <row r="4" spans="1:12" x14ac:dyDescent="0.3">
      <c r="A4" s="36" t="s">
        <v>193</v>
      </c>
      <c r="B4" s="30" t="s">
        <v>200</v>
      </c>
      <c r="C4" s="31">
        <v>45964</v>
      </c>
      <c r="D4" s="30" t="s">
        <v>201</v>
      </c>
      <c r="E4" s="30" t="s">
        <v>195</v>
      </c>
      <c r="F4" s="32" t="s">
        <v>196</v>
      </c>
      <c r="G4" s="33">
        <v>600</v>
      </c>
      <c r="H4" s="36" t="s">
        <v>197</v>
      </c>
      <c r="I4" s="32">
        <v>2964</v>
      </c>
      <c r="J4" s="31">
        <v>45965</v>
      </c>
      <c r="K4" s="35" t="s">
        <v>198</v>
      </c>
      <c r="L4" s="32" t="str">
        <f t="shared" si="0"/>
        <v>03.11 -Ped 047188 -ESC TRANSPORTES -R$600 -NF 2964</v>
      </c>
    </row>
    <row r="5" spans="1:12" x14ac:dyDescent="0.3">
      <c r="A5" s="36" t="s">
        <v>193</v>
      </c>
      <c r="B5" s="30" t="s">
        <v>22</v>
      </c>
      <c r="C5" s="31">
        <v>45964</v>
      </c>
      <c r="D5" s="30" t="s">
        <v>202</v>
      </c>
      <c r="E5" s="30" t="s">
        <v>195</v>
      </c>
      <c r="F5" s="32" t="s">
        <v>196</v>
      </c>
      <c r="G5" s="33">
        <v>550</v>
      </c>
      <c r="H5" s="36" t="s">
        <v>197</v>
      </c>
      <c r="I5" s="32">
        <v>2963</v>
      </c>
      <c r="J5" s="31">
        <v>45965</v>
      </c>
      <c r="K5" s="35" t="s">
        <v>198</v>
      </c>
      <c r="L5" s="32" t="str">
        <f t="shared" si="0"/>
        <v>03.11 -Ped 047189 -ESC TRANSPORTES -R$550 -NF 2963</v>
      </c>
    </row>
    <row r="6" spans="1:12" x14ac:dyDescent="0.3">
      <c r="A6" s="36" t="s">
        <v>193</v>
      </c>
      <c r="B6" s="30" t="s">
        <v>203</v>
      </c>
      <c r="C6" s="31">
        <v>45964</v>
      </c>
      <c r="D6" s="30" t="s">
        <v>204</v>
      </c>
      <c r="E6" s="30" t="s">
        <v>195</v>
      </c>
      <c r="F6" s="32" t="s">
        <v>196</v>
      </c>
      <c r="G6" s="33">
        <v>850</v>
      </c>
      <c r="H6" s="36" t="s">
        <v>197</v>
      </c>
      <c r="I6" s="32">
        <v>2962</v>
      </c>
      <c r="J6" s="31">
        <v>45965</v>
      </c>
      <c r="K6" s="35" t="s">
        <v>198</v>
      </c>
      <c r="L6" s="32" t="str">
        <f t="shared" si="0"/>
        <v>03.11 -Ped 047190 -ESC TRANSPORTES -R$850 -NF 2962</v>
      </c>
    </row>
    <row r="7" spans="1:12" x14ac:dyDescent="0.3">
      <c r="A7" s="36" t="s">
        <v>193</v>
      </c>
      <c r="B7" s="30" t="s">
        <v>205</v>
      </c>
      <c r="C7" s="31">
        <v>45964</v>
      </c>
      <c r="D7" s="30" t="s">
        <v>206</v>
      </c>
      <c r="E7" s="30" t="s">
        <v>195</v>
      </c>
      <c r="F7" s="32" t="s">
        <v>196</v>
      </c>
      <c r="G7" s="33">
        <v>1100</v>
      </c>
      <c r="H7" s="36" t="s">
        <v>197</v>
      </c>
      <c r="I7" s="32">
        <v>2969</v>
      </c>
      <c r="J7" s="31">
        <v>45965</v>
      </c>
      <c r="K7" s="35" t="s">
        <v>198</v>
      </c>
      <c r="L7" s="32" t="str">
        <f t="shared" si="0"/>
        <v>03.11 -Ped 047192 -ESC TRANSPORTES -R$1100 -NF 2969</v>
      </c>
    </row>
    <row r="8" spans="1:12" x14ac:dyDescent="0.3">
      <c r="A8" s="36" t="s">
        <v>193</v>
      </c>
      <c r="B8" s="30" t="s">
        <v>207</v>
      </c>
      <c r="C8" s="31">
        <v>45964</v>
      </c>
      <c r="D8" s="30" t="s">
        <v>208</v>
      </c>
      <c r="E8" s="30" t="s">
        <v>195</v>
      </c>
      <c r="F8" s="32" t="s">
        <v>196</v>
      </c>
      <c r="G8" s="33">
        <v>830</v>
      </c>
      <c r="H8" s="36" t="s">
        <v>197</v>
      </c>
      <c r="I8" s="32">
        <v>2968</v>
      </c>
      <c r="J8" s="31">
        <v>45965</v>
      </c>
      <c r="K8" s="35" t="s">
        <v>198</v>
      </c>
      <c r="L8" s="32" t="str">
        <f t="shared" si="0"/>
        <v>03.11 -Ped 047193 -ESC TRANSPORTES -R$830 -NF 2968</v>
      </c>
    </row>
    <row r="9" spans="1:12" x14ac:dyDescent="0.3">
      <c r="A9" s="36" t="s">
        <v>193</v>
      </c>
      <c r="B9" s="30" t="s">
        <v>207</v>
      </c>
      <c r="C9" s="31">
        <v>45964</v>
      </c>
      <c r="D9" s="30" t="s">
        <v>209</v>
      </c>
      <c r="E9" s="30" t="s">
        <v>210</v>
      </c>
      <c r="F9" s="32" t="s">
        <v>211</v>
      </c>
      <c r="G9" s="33">
        <v>200</v>
      </c>
      <c r="H9" s="36" t="s">
        <v>197</v>
      </c>
      <c r="I9" s="32">
        <v>48</v>
      </c>
      <c r="J9" s="31">
        <v>45966</v>
      </c>
      <c r="K9" s="35"/>
      <c r="L9" s="32" t="str">
        <f t="shared" si="0"/>
        <v>03.11 -Ped 047258 -ANDREIA R. COURIER   -R$200 -NF 48</v>
      </c>
    </row>
    <row r="10" spans="1:12" x14ac:dyDescent="0.3">
      <c r="A10" s="36" t="s">
        <v>193</v>
      </c>
      <c r="B10" s="30" t="s">
        <v>207</v>
      </c>
      <c r="C10" s="31">
        <v>45964</v>
      </c>
      <c r="D10" s="30" t="s">
        <v>212</v>
      </c>
      <c r="E10" s="30" t="s">
        <v>213</v>
      </c>
      <c r="F10" s="32" t="s">
        <v>214</v>
      </c>
      <c r="G10" s="33">
        <v>1210</v>
      </c>
      <c r="H10" s="36" t="s">
        <v>197</v>
      </c>
      <c r="I10" s="32">
        <v>247</v>
      </c>
      <c r="J10" s="31">
        <v>45967</v>
      </c>
      <c r="K10" s="35" t="s">
        <v>215</v>
      </c>
      <c r="L10" s="32" t="str">
        <f t="shared" si="0"/>
        <v>03.11 -Ped 047247 -DELTA MOTOS COURIER -R$1210 -NF 247</v>
      </c>
    </row>
    <row r="11" spans="1:12" x14ac:dyDescent="0.3">
      <c r="A11" s="36" t="s">
        <v>193</v>
      </c>
      <c r="B11" s="30" t="s">
        <v>205</v>
      </c>
      <c r="C11" s="31">
        <v>45964</v>
      </c>
      <c r="D11" s="30" t="s">
        <v>216</v>
      </c>
      <c r="E11" s="30" t="s">
        <v>213</v>
      </c>
      <c r="F11" s="32" t="s">
        <v>214</v>
      </c>
      <c r="G11" s="33">
        <v>550</v>
      </c>
      <c r="H11" s="36" t="s">
        <v>197</v>
      </c>
      <c r="I11" s="32">
        <v>246</v>
      </c>
      <c r="J11" s="31">
        <v>45968</v>
      </c>
      <c r="K11" s="35"/>
      <c r="L11" s="32" t="str">
        <f t="shared" si="0"/>
        <v>03.11 -Ped 047246 -DELTA MOTOS COURIER -R$550 -NF 246</v>
      </c>
    </row>
    <row r="12" spans="1:12" x14ac:dyDescent="0.3">
      <c r="A12" s="36" t="s">
        <v>193</v>
      </c>
      <c r="B12" s="30" t="s">
        <v>21</v>
      </c>
      <c r="C12" s="31">
        <v>45964</v>
      </c>
      <c r="D12" s="30" t="s">
        <v>217</v>
      </c>
      <c r="E12" s="30" t="s">
        <v>213</v>
      </c>
      <c r="F12" s="32" t="s">
        <v>214</v>
      </c>
      <c r="G12" s="33">
        <v>180</v>
      </c>
      <c r="H12" s="36" t="s">
        <v>197</v>
      </c>
      <c r="I12" s="32">
        <v>245</v>
      </c>
      <c r="J12" s="31">
        <v>45969</v>
      </c>
      <c r="K12" s="35" t="s">
        <v>218</v>
      </c>
      <c r="L12" s="32" t="str">
        <f t="shared" si="0"/>
        <v>03.11 -Ped 047233 -DELTA MOTOS COURIER -R$180 -NF 245</v>
      </c>
    </row>
    <row r="13" spans="1:12" x14ac:dyDescent="0.3">
      <c r="A13" s="36" t="s">
        <v>193</v>
      </c>
      <c r="B13" s="30" t="s">
        <v>16</v>
      </c>
      <c r="C13" s="31">
        <v>45964</v>
      </c>
      <c r="D13" s="30" t="s">
        <v>219</v>
      </c>
      <c r="E13" s="30" t="s">
        <v>213</v>
      </c>
      <c r="F13" s="32" t="s">
        <v>214</v>
      </c>
      <c r="G13" s="33">
        <v>990</v>
      </c>
      <c r="H13" s="36" t="s">
        <v>197</v>
      </c>
      <c r="I13" s="32">
        <v>244</v>
      </c>
      <c r="J13" s="31">
        <v>45970</v>
      </c>
      <c r="K13" s="35"/>
      <c r="L13" s="32" t="str">
        <f t="shared" si="0"/>
        <v>03.11 -Ped 047243 -DELTA MOTOS COURIER -R$990 -NF 244</v>
      </c>
    </row>
    <row r="14" spans="1:12" x14ac:dyDescent="0.3">
      <c r="A14" s="36" t="s">
        <v>193</v>
      </c>
      <c r="B14" s="30" t="s">
        <v>22</v>
      </c>
      <c r="C14" s="31">
        <v>45964</v>
      </c>
      <c r="D14" s="30" t="s">
        <v>220</v>
      </c>
      <c r="E14" s="30" t="s">
        <v>213</v>
      </c>
      <c r="F14" s="32" t="s">
        <v>214</v>
      </c>
      <c r="G14" s="33">
        <v>245</v>
      </c>
      <c r="H14" s="36" t="s">
        <v>197</v>
      </c>
      <c r="I14" s="32">
        <v>243</v>
      </c>
      <c r="J14" s="31">
        <v>45971</v>
      </c>
      <c r="K14" s="35"/>
      <c r="L14" s="32" t="str">
        <f t="shared" si="0"/>
        <v>03.11 -Ped 047244 -DELTA MOTOS COURIER -R$245 -NF 243</v>
      </c>
    </row>
    <row r="15" spans="1:12" x14ac:dyDescent="0.3">
      <c r="A15" s="36" t="s">
        <v>193</v>
      </c>
      <c r="B15" s="30" t="s">
        <v>200</v>
      </c>
      <c r="C15" s="31">
        <v>45964</v>
      </c>
      <c r="D15" s="30" t="s">
        <v>221</v>
      </c>
      <c r="E15" s="30" t="s">
        <v>213</v>
      </c>
      <c r="F15" s="32" t="s">
        <v>214</v>
      </c>
      <c r="G15" s="33">
        <v>8245</v>
      </c>
      <c r="H15" s="36" t="s">
        <v>197</v>
      </c>
      <c r="I15" s="32">
        <v>242</v>
      </c>
      <c r="J15" s="31">
        <v>45972</v>
      </c>
      <c r="K15" s="35"/>
      <c r="L15" s="32" t="str">
        <f t="shared" si="0"/>
        <v>03.11 -Ped 047249 -DELTA MOTOS COURIER -R$8245 -NF 242</v>
      </c>
    </row>
    <row r="16" spans="1:12" x14ac:dyDescent="0.3">
      <c r="A16" s="36" t="s">
        <v>193</v>
      </c>
      <c r="B16" s="30" t="s">
        <v>207</v>
      </c>
      <c r="C16" s="31">
        <v>45964</v>
      </c>
      <c r="D16" s="30" t="s">
        <v>222</v>
      </c>
      <c r="E16" s="30" t="s">
        <v>210</v>
      </c>
      <c r="F16" s="32" t="s">
        <v>211</v>
      </c>
      <c r="G16" s="33">
        <v>200</v>
      </c>
      <c r="H16" s="36" t="s">
        <v>197</v>
      </c>
      <c r="I16" s="32" t="s">
        <v>292</v>
      </c>
      <c r="J16" s="31">
        <v>45972</v>
      </c>
      <c r="K16" s="35"/>
      <c r="L16" s="32" t="str">
        <f t="shared" si="0"/>
        <v>03.11 -Ped 047267 -ANDREIA R. COURIER   -R$200 -NF FIN</v>
      </c>
    </row>
    <row r="17" spans="1:12" x14ac:dyDescent="0.3">
      <c r="A17" s="36" t="s">
        <v>223</v>
      </c>
      <c r="B17" s="30" t="s">
        <v>200</v>
      </c>
      <c r="C17" s="31">
        <v>45965</v>
      </c>
      <c r="D17" s="30" t="s">
        <v>224</v>
      </c>
      <c r="E17" s="30" t="s">
        <v>225</v>
      </c>
      <c r="F17" s="32" t="s">
        <v>226</v>
      </c>
      <c r="G17" s="33">
        <v>87.62</v>
      </c>
      <c r="H17" s="36" t="s">
        <v>197</v>
      </c>
      <c r="I17" s="32" t="s">
        <v>291</v>
      </c>
      <c r="J17" s="31">
        <v>45965</v>
      </c>
      <c r="K17" s="35" t="s">
        <v>227</v>
      </c>
      <c r="L17" s="32" t="str">
        <f t="shared" si="0"/>
        <v>04.11 -Ped 047178 -DNIT -R$87,62 -NF BOLETO</v>
      </c>
    </row>
    <row r="18" spans="1:12" x14ac:dyDescent="0.3">
      <c r="A18" s="36" t="s">
        <v>193</v>
      </c>
      <c r="B18" s="30" t="s">
        <v>22</v>
      </c>
      <c r="C18" s="31">
        <v>45965</v>
      </c>
      <c r="D18" s="30" t="s">
        <v>228</v>
      </c>
      <c r="E18" s="30" t="s">
        <v>229</v>
      </c>
      <c r="F18" s="32" t="s">
        <v>230</v>
      </c>
      <c r="G18" s="33">
        <v>150</v>
      </c>
      <c r="H18" s="36" t="s">
        <v>197</v>
      </c>
      <c r="I18" s="32">
        <v>420</v>
      </c>
      <c r="J18" s="31">
        <v>45967</v>
      </c>
      <c r="K18" s="35" t="s">
        <v>231</v>
      </c>
      <c r="L18" s="32" t="str">
        <f t="shared" si="0"/>
        <v>04.11 -Ped 047199 -JOHN ELVIS COURIER -R$150 -NF 420</v>
      </c>
    </row>
    <row r="19" spans="1:12" x14ac:dyDescent="0.3">
      <c r="A19" s="36" t="s">
        <v>232</v>
      </c>
      <c r="B19" s="30" t="s">
        <v>21</v>
      </c>
      <c r="C19" s="31">
        <v>45965</v>
      </c>
      <c r="D19" s="30" t="s">
        <v>233</v>
      </c>
      <c r="E19" s="30" t="s">
        <v>234</v>
      </c>
      <c r="F19" s="32" t="s">
        <v>235</v>
      </c>
      <c r="G19" s="33">
        <v>910</v>
      </c>
      <c r="H19" s="36" t="s">
        <v>197</v>
      </c>
      <c r="I19" s="32">
        <v>177</v>
      </c>
      <c r="J19" s="31">
        <v>45967</v>
      </c>
      <c r="K19" s="35" t="s">
        <v>236</v>
      </c>
      <c r="L19" s="32" t="str">
        <f t="shared" si="0"/>
        <v>04.11 -Ped 047269 -STOSKI TRANSPORTES -R$910 -NF 177</v>
      </c>
    </row>
    <row r="20" spans="1:12" x14ac:dyDescent="0.3">
      <c r="A20" s="36" t="s">
        <v>232</v>
      </c>
      <c r="B20" s="30" t="s">
        <v>16</v>
      </c>
      <c r="C20" s="31">
        <v>45965</v>
      </c>
      <c r="D20" s="30" t="s">
        <v>237</v>
      </c>
      <c r="E20" s="30" t="s">
        <v>238</v>
      </c>
      <c r="F20" s="32" t="s">
        <v>239</v>
      </c>
      <c r="G20" s="33">
        <v>1295</v>
      </c>
      <c r="H20" s="36" t="s">
        <v>197</v>
      </c>
      <c r="I20" s="32">
        <v>186</v>
      </c>
      <c r="J20" s="31">
        <v>45968</v>
      </c>
      <c r="K20" s="35" t="s">
        <v>240</v>
      </c>
      <c r="L20" s="32" t="str">
        <f t="shared" si="0"/>
        <v>04.11 -Ped 047315 -TRANSCAPITINGA  FRET -R$1295 -NF 186</v>
      </c>
    </row>
    <row r="21" spans="1:12" x14ac:dyDescent="0.3">
      <c r="A21" s="36" t="s">
        <v>193</v>
      </c>
      <c r="B21" s="30" t="s">
        <v>207</v>
      </c>
      <c r="C21" s="31">
        <v>45965</v>
      </c>
      <c r="D21" s="30" t="s">
        <v>241</v>
      </c>
      <c r="E21" s="30" t="s">
        <v>210</v>
      </c>
      <c r="F21" s="32" t="s">
        <v>211</v>
      </c>
      <c r="G21" s="33">
        <v>80</v>
      </c>
      <c r="H21" s="36" t="s">
        <v>197</v>
      </c>
      <c r="I21" s="32">
        <v>51</v>
      </c>
      <c r="J21" s="31">
        <v>45971</v>
      </c>
      <c r="K21" s="35"/>
      <c r="L21" s="32" t="str">
        <f t="shared" si="0"/>
        <v>04.11 -Ped 047437 -ANDREIA R. COURIER   -R$80 -NF 51</v>
      </c>
    </row>
    <row r="22" spans="1:12" x14ac:dyDescent="0.3">
      <c r="A22" s="36" t="s">
        <v>242</v>
      </c>
      <c r="B22" s="30" t="s">
        <v>200</v>
      </c>
      <c r="C22" s="31">
        <v>45966</v>
      </c>
      <c r="D22" s="30" t="s">
        <v>243</v>
      </c>
      <c r="E22" s="30" t="s">
        <v>244</v>
      </c>
      <c r="F22" s="32" t="s">
        <v>245</v>
      </c>
      <c r="G22" s="33">
        <v>156.18</v>
      </c>
      <c r="H22" s="36" t="s">
        <v>197</v>
      </c>
      <c r="I22" s="32" t="s">
        <v>291</v>
      </c>
      <c r="J22" s="31">
        <v>45964</v>
      </c>
      <c r="K22" s="35" t="s">
        <v>246</v>
      </c>
      <c r="L22" s="32" t="str">
        <f t="shared" si="0"/>
        <v>05.11 -Ped 047117 -DETRAN PR -R$156,18 -NF BOLETO</v>
      </c>
    </row>
    <row r="23" spans="1:12" x14ac:dyDescent="0.3">
      <c r="A23" s="36" t="s">
        <v>242</v>
      </c>
      <c r="B23" s="30" t="s">
        <v>200</v>
      </c>
      <c r="C23" s="31">
        <v>45966</v>
      </c>
      <c r="D23" s="30" t="s">
        <v>243</v>
      </c>
      <c r="E23" s="30" t="s">
        <v>244</v>
      </c>
      <c r="F23" s="32" t="s">
        <v>245</v>
      </c>
      <c r="G23" s="33">
        <v>94.61</v>
      </c>
      <c r="H23" s="36" t="s">
        <v>197</v>
      </c>
      <c r="I23" s="32" t="s">
        <v>291</v>
      </c>
      <c r="J23" s="31">
        <v>45964</v>
      </c>
      <c r="K23" s="35" t="s">
        <v>247</v>
      </c>
      <c r="L23" s="32" t="str">
        <f t="shared" si="0"/>
        <v>05.11 -Ped 047117 -DETRAN PR -R$94,61 -NF BOLETO</v>
      </c>
    </row>
    <row r="24" spans="1:12" x14ac:dyDescent="0.3">
      <c r="A24" s="36" t="s">
        <v>193</v>
      </c>
      <c r="B24" s="30" t="s">
        <v>205</v>
      </c>
      <c r="C24" s="31">
        <v>45966</v>
      </c>
      <c r="D24" s="30" t="s">
        <v>248</v>
      </c>
      <c r="E24" s="30" t="s">
        <v>249</v>
      </c>
      <c r="F24" s="32" t="s">
        <v>250</v>
      </c>
      <c r="G24" s="33">
        <v>180</v>
      </c>
      <c r="H24" s="36" t="s">
        <v>197</v>
      </c>
      <c r="I24" s="32">
        <v>409</v>
      </c>
      <c r="J24" s="31">
        <v>45967</v>
      </c>
      <c r="K24" s="35" t="s">
        <v>251</v>
      </c>
      <c r="L24" s="32" t="str">
        <f t="shared" si="0"/>
        <v>05.11 -Ped 047268 -MARCOS D COURIER -R$180 -NF 409</v>
      </c>
    </row>
    <row r="25" spans="1:12" x14ac:dyDescent="0.3">
      <c r="A25" s="36" t="s">
        <v>193</v>
      </c>
      <c r="B25" s="30" t="s">
        <v>203</v>
      </c>
      <c r="C25" s="31">
        <v>45966</v>
      </c>
      <c r="D25" s="30" t="s">
        <v>222</v>
      </c>
      <c r="E25" s="30" t="s">
        <v>249</v>
      </c>
      <c r="F25" s="32" t="s">
        <v>250</v>
      </c>
      <c r="G25" s="33">
        <v>520</v>
      </c>
      <c r="H25" s="36" t="s">
        <v>197</v>
      </c>
      <c r="I25" s="32">
        <v>408</v>
      </c>
      <c r="J25" s="31">
        <v>45967</v>
      </c>
      <c r="K25" s="35" t="s">
        <v>252</v>
      </c>
      <c r="L25" s="32" t="str">
        <f t="shared" si="0"/>
        <v>05.11 -Ped 047267 -MARCOS D COURIER -R$520 -NF 408</v>
      </c>
    </row>
    <row r="26" spans="1:12" x14ac:dyDescent="0.3">
      <c r="A26" s="36" t="s">
        <v>193</v>
      </c>
      <c r="B26" s="30" t="s">
        <v>200</v>
      </c>
      <c r="C26" s="31">
        <v>45966</v>
      </c>
      <c r="D26" s="30" t="s">
        <v>253</v>
      </c>
      <c r="E26" s="30" t="s">
        <v>254</v>
      </c>
      <c r="F26" s="32" t="s">
        <v>255</v>
      </c>
      <c r="G26" s="33">
        <v>371.14</v>
      </c>
      <c r="H26" s="36" t="s">
        <v>197</v>
      </c>
      <c r="I26" s="32">
        <v>336939</v>
      </c>
      <c r="J26" s="31">
        <v>45967</v>
      </c>
      <c r="K26" s="35" t="s">
        <v>256</v>
      </c>
      <c r="L26" s="32" t="str">
        <f t="shared" si="0"/>
        <v>05.11 -Ped 047348 -PRINCESA DOS CAMPOS -R$371,14 -NF 336939</v>
      </c>
    </row>
    <row r="27" spans="1:12" x14ac:dyDescent="0.3">
      <c r="A27" s="36" t="s">
        <v>193</v>
      </c>
      <c r="B27" s="30" t="s">
        <v>200</v>
      </c>
      <c r="C27" s="31">
        <v>45966</v>
      </c>
      <c r="D27" s="30" t="s">
        <v>253</v>
      </c>
      <c r="E27" s="30" t="s">
        <v>254</v>
      </c>
      <c r="F27" s="32" t="s">
        <v>255</v>
      </c>
      <c r="G27" s="33">
        <v>529.48</v>
      </c>
      <c r="H27" s="36" t="s">
        <v>197</v>
      </c>
      <c r="I27" s="32">
        <v>348407</v>
      </c>
      <c r="J27" s="31">
        <v>45967</v>
      </c>
      <c r="K27" s="35" t="s">
        <v>256</v>
      </c>
      <c r="L27" s="32" t="str">
        <f t="shared" si="0"/>
        <v>05.11 -Ped 047348 -PRINCESA DOS CAMPOS -R$529,48 -NF 348407</v>
      </c>
    </row>
    <row r="28" spans="1:12" x14ac:dyDescent="0.3">
      <c r="A28" s="36" t="s">
        <v>232</v>
      </c>
      <c r="B28" s="30" t="s">
        <v>16</v>
      </c>
      <c r="C28" s="31">
        <v>45966</v>
      </c>
      <c r="D28" s="30" t="s">
        <v>237</v>
      </c>
      <c r="E28" s="30" t="s">
        <v>238</v>
      </c>
      <c r="F28" s="32" t="s">
        <v>239</v>
      </c>
      <c r="G28" s="33">
        <v>975</v>
      </c>
      <c r="H28" s="36" t="s">
        <v>197</v>
      </c>
      <c r="I28" s="32">
        <v>186</v>
      </c>
      <c r="J28" s="31">
        <v>45968</v>
      </c>
      <c r="K28" s="35" t="s">
        <v>257</v>
      </c>
      <c r="L28" s="32" t="str">
        <f t="shared" si="0"/>
        <v>05.11 -Ped 047315 -TRANSCAPITINGA  FRET -R$975 -NF 186</v>
      </c>
    </row>
    <row r="29" spans="1:12" x14ac:dyDescent="0.3">
      <c r="A29" s="36" t="s">
        <v>193</v>
      </c>
      <c r="B29" s="30" t="s">
        <v>203</v>
      </c>
      <c r="C29" s="31">
        <v>45967</v>
      </c>
      <c r="D29" s="30" t="s">
        <v>258</v>
      </c>
      <c r="E29" s="30" t="s">
        <v>259</v>
      </c>
      <c r="F29" s="32" t="s">
        <v>260</v>
      </c>
      <c r="G29" s="33">
        <v>1860</v>
      </c>
      <c r="H29" s="36" t="s">
        <v>197</v>
      </c>
      <c r="I29" s="32">
        <v>3300</v>
      </c>
      <c r="J29" s="31">
        <v>45968</v>
      </c>
      <c r="K29" s="35" t="s">
        <v>261</v>
      </c>
      <c r="L29" s="32" t="str">
        <f t="shared" si="0"/>
        <v>06.11 -Ped 047349 -UNIBOY COURIER -R$1860 -NF 3300</v>
      </c>
    </row>
    <row r="30" spans="1:12" x14ac:dyDescent="0.3">
      <c r="A30" s="36" t="s">
        <v>223</v>
      </c>
      <c r="B30" s="30" t="s">
        <v>200</v>
      </c>
      <c r="C30" s="31">
        <v>45968</v>
      </c>
      <c r="D30" s="30" t="s">
        <v>262</v>
      </c>
      <c r="E30" s="30" t="s">
        <v>263</v>
      </c>
      <c r="F30" s="32" t="s">
        <v>264</v>
      </c>
      <c r="G30" s="33">
        <v>2780</v>
      </c>
      <c r="H30" s="36" t="s">
        <v>197</v>
      </c>
      <c r="I30" s="32">
        <v>2708</v>
      </c>
      <c r="J30" s="31">
        <v>45972</v>
      </c>
      <c r="K30" s="35" t="s">
        <v>265</v>
      </c>
      <c r="L30" s="32" t="str">
        <f t="shared" si="0"/>
        <v>07.11 -Ped 047383 -SERIE4 - MT -R$2780 -NF 2708</v>
      </c>
    </row>
    <row r="31" spans="1:12" x14ac:dyDescent="0.3">
      <c r="A31" s="36" t="s">
        <v>223</v>
      </c>
      <c r="B31" s="30" t="s">
        <v>200</v>
      </c>
      <c r="C31" s="31">
        <v>45968</v>
      </c>
      <c r="D31" s="30" t="s">
        <v>262</v>
      </c>
      <c r="E31" s="30" t="s">
        <v>263</v>
      </c>
      <c r="F31" s="32" t="s">
        <v>264</v>
      </c>
      <c r="G31" s="33">
        <v>840</v>
      </c>
      <c r="H31" s="36" t="s">
        <v>197</v>
      </c>
      <c r="I31" s="32">
        <v>2374</v>
      </c>
      <c r="J31" s="31">
        <v>45972</v>
      </c>
      <c r="K31" s="35" t="s">
        <v>266</v>
      </c>
      <c r="L31" s="32" t="str">
        <f t="shared" si="0"/>
        <v>07.11 -Ped 047383 -SERIE4 - MT -R$840 -NF 2374</v>
      </c>
    </row>
    <row r="32" spans="1:12" x14ac:dyDescent="0.3">
      <c r="A32" s="36" t="s">
        <v>223</v>
      </c>
      <c r="B32" s="30" t="s">
        <v>200</v>
      </c>
      <c r="C32" s="31">
        <v>45971</v>
      </c>
      <c r="D32" s="30" t="s">
        <v>267</v>
      </c>
      <c r="E32" s="30" t="s">
        <v>268</v>
      </c>
      <c r="F32" s="32" t="s">
        <v>269</v>
      </c>
      <c r="G32" s="33">
        <v>133.13</v>
      </c>
      <c r="H32" s="36" t="s">
        <v>197</v>
      </c>
      <c r="I32" s="32" t="s">
        <v>291</v>
      </c>
      <c r="J32" s="31">
        <v>45964</v>
      </c>
      <c r="K32" s="35" t="s">
        <v>270</v>
      </c>
      <c r="L32" s="32" t="str">
        <f t="shared" si="0"/>
        <v>10.11 -Ped 047116 -DER - AET VEICULOS -R$133,13 -NF BOLETO</v>
      </c>
    </row>
    <row r="33" spans="1:12" x14ac:dyDescent="0.3">
      <c r="A33" s="36" t="s">
        <v>223</v>
      </c>
      <c r="B33" s="30" t="s">
        <v>200</v>
      </c>
      <c r="C33" s="31">
        <v>45989</v>
      </c>
      <c r="D33" s="30" t="s">
        <v>243</v>
      </c>
      <c r="E33" s="30" t="s">
        <v>244</v>
      </c>
      <c r="F33" s="32" t="s">
        <v>245</v>
      </c>
      <c r="G33" s="33">
        <v>140.66999999999999</v>
      </c>
      <c r="H33" s="36" t="s">
        <v>197</v>
      </c>
      <c r="I33" s="32" t="s">
        <v>291</v>
      </c>
      <c r="J33" s="31">
        <v>45964</v>
      </c>
      <c r="K33" s="35" t="s">
        <v>271</v>
      </c>
      <c r="L33" s="32" t="str">
        <f t="shared" si="0"/>
        <v>28.11 -Ped 047117 -DETRAN PR -R$140,67 -NF BOLETO</v>
      </c>
    </row>
    <row r="34" spans="1:12" x14ac:dyDescent="0.3">
      <c r="A34" s="36" t="s">
        <v>223</v>
      </c>
      <c r="B34" s="30" t="s">
        <v>200</v>
      </c>
      <c r="C34" s="31">
        <v>45989</v>
      </c>
      <c r="D34" s="30" t="s">
        <v>243</v>
      </c>
      <c r="E34" s="30" t="s">
        <v>244</v>
      </c>
      <c r="F34" s="32" t="s">
        <v>245</v>
      </c>
      <c r="G34" s="33">
        <v>275.77999999999997</v>
      </c>
      <c r="H34" s="36" t="s">
        <v>197</v>
      </c>
      <c r="I34" s="32" t="s">
        <v>291</v>
      </c>
      <c r="J34" s="31">
        <v>45964</v>
      </c>
      <c r="K34" s="35" t="s">
        <v>271</v>
      </c>
      <c r="L34" s="32" t="str">
        <f t="shared" si="0"/>
        <v>28.11 -Ped 047117 -DETRAN PR -R$275,78 -NF BOLETO</v>
      </c>
    </row>
    <row r="35" spans="1:12" x14ac:dyDescent="0.3">
      <c r="A35" s="36" t="s">
        <v>272</v>
      </c>
      <c r="B35" s="30" t="s">
        <v>16</v>
      </c>
      <c r="C35" s="31">
        <v>45962</v>
      </c>
      <c r="D35" s="30" t="s">
        <v>237</v>
      </c>
      <c r="E35" s="30" t="s">
        <v>238</v>
      </c>
      <c r="F35" s="32" t="s">
        <v>239</v>
      </c>
      <c r="G35" s="33">
        <v>1000</v>
      </c>
      <c r="H35" s="36" t="s">
        <v>197</v>
      </c>
      <c r="K35" s="35" t="s">
        <v>273</v>
      </c>
      <c r="L35" s="32" t="str">
        <f t="shared" si="0"/>
        <v>01.11 -Ped 047315 -TRANSCAPITINGA  FRET -R$1000</v>
      </c>
    </row>
    <row r="36" spans="1:12" x14ac:dyDescent="0.3">
      <c r="A36" s="36" t="s">
        <v>193</v>
      </c>
      <c r="B36" s="30" t="s">
        <v>22</v>
      </c>
      <c r="C36" s="31">
        <v>45965</v>
      </c>
      <c r="D36" s="30" t="s">
        <v>274</v>
      </c>
      <c r="E36" s="30" t="s">
        <v>275</v>
      </c>
      <c r="F36" s="32" t="s">
        <v>276</v>
      </c>
      <c r="G36" s="33">
        <v>700</v>
      </c>
      <c r="H36" s="36" t="s">
        <v>197</v>
      </c>
      <c r="K36" s="35"/>
      <c r="L36" s="32" t="str">
        <f t="shared" si="0"/>
        <v>04.11 -Ped 047263 -JORGE LUIZ 2 COURIER -R$700</v>
      </c>
    </row>
    <row r="37" spans="1:12" x14ac:dyDescent="0.3">
      <c r="A37" s="36" t="s">
        <v>193</v>
      </c>
      <c r="B37" s="30" t="s">
        <v>205</v>
      </c>
      <c r="C37" s="31">
        <v>45965</v>
      </c>
      <c r="D37" s="30" t="s">
        <v>277</v>
      </c>
      <c r="E37" s="30" t="s">
        <v>249</v>
      </c>
      <c r="F37" s="32" t="s">
        <v>250</v>
      </c>
      <c r="G37" s="33">
        <v>400</v>
      </c>
      <c r="H37" s="36" t="s">
        <v>197</v>
      </c>
      <c r="K37" s="35" t="s">
        <v>278</v>
      </c>
      <c r="L37" s="32" t="str">
        <f t="shared" si="0"/>
        <v>04.11 -Ped 047525 -MARCOS D COURIER -R$400</v>
      </c>
    </row>
    <row r="38" spans="1:12" x14ac:dyDescent="0.3">
      <c r="A38" s="36" t="s">
        <v>193</v>
      </c>
      <c r="B38" s="30" t="s">
        <v>21</v>
      </c>
      <c r="C38" s="31">
        <v>45966</v>
      </c>
      <c r="D38" s="30" t="s">
        <v>279</v>
      </c>
      <c r="E38" s="30" t="s">
        <v>275</v>
      </c>
      <c r="F38" s="32" t="s">
        <v>276</v>
      </c>
      <c r="G38" s="33">
        <v>180</v>
      </c>
      <c r="H38" s="36" t="s">
        <v>197</v>
      </c>
      <c r="K38" s="35" t="s">
        <v>280</v>
      </c>
      <c r="L38" s="32" t="str">
        <f t="shared" si="0"/>
        <v>05.11 -Ped 047328 -JORGE LUIZ 2 COURIER -R$180</v>
      </c>
    </row>
    <row r="39" spans="1:12" x14ac:dyDescent="0.3">
      <c r="A39" s="36" t="s">
        <v>223</v>
      </c>
      <c r="B39" s="30" t="s">
        <v>200</v>
      </c>
      <c r="C39" s="31">
        <v>45967</v>
      </c>
      <c r="D39" s="30" t="s">
        <v>281</v>
      </c>
      <c r="E39" s="30" t="s">
        <v>282</v>
      </c>
      <c r="F39" s="32" t="s">
        <v>283</v>
      </c>
      <c r="G39" s="33">
        <v>500</v>
      </c>
      <c r="H39" s="36" t="s">
        <v>284</v>
      </c>
      <c r="K39" s="35" t="s">
        <v>285</v>
      </c>
      <c r="L39" s="32" t="str">
        <f t="shared" si="0"/>
        <v>06.11 -Ped 047553 -ANDREANI - MT -R$500</v>
      </c>
    </row>
    <row r="40" spans="1:12" x14ac:dyDescent="0.3">
      <c r="A40" s="36" t="s">
        <v>223</v>
      </c>
      <c r="B40" s="30" t="s">
        <v>200</v>
      </c>
      <c r="C40" s="31">
        <v>45967</v>
      </c>
      <c r="D40" s="30" t="s">
        <v>281</v>
      </c>
      <c r="E40" s="30" t="s">
        <v>282</v>
      </c>
      <c r="F40" s="32" t="s">
        <v>283</v>
      </c>
      <c r="G40" s="33">
        <v>397</v>
      </c>
      <c r="H40" s="36" t="s">
        <v>284</v>
      </c>
      <c r="K40" s="35" t="s">
        <v>286</v>
      </c>
      <c r="L40" s="32" t="str">
        <f t="shared" si="0"/>
        <v>06.11 -Ped 047553 -ANDREANI - MT -R$397</v>
      </c>
    </row>
    <row r="41" spans="1:12" x14ac:dyDescent="0.3">
      <c r="A41" s="36" t="s">
        <v>193</v>
      </c>
      <c r="B41" s="30" t="s">
        <v>205</v>
      </c>
      <c r="C41" s="31">
        <v>45968</v>
      </c>
      <c r="D41" s="30" t="s">
        <v>287</v>
      </c>
      <c r="E41" s="30" t="s">
        <v>249</v>
      </c>
      <c r="F41" s="32" t="s">
        <v>250</v>
      </c>
      <c r="G41" s="33">
        <v>420</v>
      </c>
      <c r="H41" s="36" t="s">
        <v>197</v>
      </c>
      <c r="K41" s="35" t="s">
        <v>288</v>
      </c>
      <c r="L41" s="32" t="str">
        <f t="shared" si="0"/>
        <v>07.11 -Ped 047527 -MARCOS D COURIER -R$420</v>
      </c>
    </row>
    <row r="42" spans="1:12" x14ac:dyDescent="0.3">
      <c r="A42" s="36" t="s">
        <v>193</v>
      </c>
      <c r="B42" s="30" t="s">
        <v>22</v>
      </c>
      <c r="C42" s="31">
        <v>45971</v>
      </c>
      <c r="D42" s="30" t="s">
        <v>289</v>
      </c>
      <c r="E42" s="30" t="s">
        <v>275</v>
      </c>
      <c r="F42" s="32" t="s">
        <v>276</v>
      </c>
      <c r="G42" s="33">
        <v>700</v>
      </c>
      <c r="H42" s="36" t="s">
        <v>284</v>
      </c>
      <c r="K42" s="35"/>
      <c r="L42" s="32" t="str">
        <f t="shared" si="0"/>
        <v>10.11 -Ped 047550 -JORGE LUIZ 2 COURIER -R$700</v>
      </c>
    </row>
    <row r="43" spans="1:12" x14ac:dyDescent="0.3">
      <c r="A43" s="36" t="s">
        <v>193</v>
      </c>
      <c r="B43" s="30" t="s">
        <v>205</v>
      </c>
      <c r="C43" s="31">
        <v>45971</v>
      </c>
      <c r="D43" s="30" t="s">
        <v>277</v>
      </c>
      <c r="E43" s="30" t="s">
        <v>249</v>
      </c>
      <c r="F43" s="32" t="s">
        <v>250</v>
      </c>
      <c r="G43" s="33">
        <v>250</v>
      </c>
      <c r="H43" s="36" t="s">
        <v>197</v>
      </c>
      <c r="K43" s="35" t="s">
        <v>290</v>
      </c>
      <c r="L43" s="32" t="str">
        <f t="shared" si="0"/>
        <v>10.11 -Ped 047525 -MARCOS D COURIER -R$250</v>
      </c>
    </row>
    <row r="44" spans="1:12" x14ac:dyDescent="0.3">
      <c r="A44" s="36"/>
      <c r="H44" s="36"/>
      <c r="K44" s="35"/>
      <c r="L44" s="34" t="str">
        <f t="shared" ref="L44" si="1">TEXT($C44,"dd.mm") &amp; " -Ped " &amp; D44 &amp; " -" &amp; F44 &amp; " -R$" &amp; G44 &amp; IF(LEN(TRIM(I44))=0, "", " -NF " &amp; TRIM(I44))</f>
        <v>00.01 -Ped  - -R$</v>
      </c>
    </row>
    <row r="45" spans="1:12" x14ac:dyDescent="0.3">
      <c r="A45" s="36"/>
      <c r="H45" s="36"/>
      <c r="K45" s="35"/>
      <c r="L45" s="34" t="str">
        <f t="shared" ref="L45:L47" si="2">TEXT($C45,"dd.mm") &amp; " -Ped " &amp; D45 &amp; " -" &amp; F45 &amp; " -R$" &amp; G45 &amp; IF(LEN(TRIM(I45))=0, "", " -NF " &amp; TRIM(I45))</f>
        <v>00.01 -Ped  - -R$</v>
      </c>
    </row>
    <row r="46" spans="1:12" x14ac:dyDescent="0.3">
      <c r="A46" s="36"/>
      <c r="H46" s="36"/>
      <c r="K46" s="35"/>
      <c r="L46" s="34" t="str">
        <f t="shared" si="2"/>
        <v>00.01 -Ped  - -R$</v>
      </c>
    </row>
    <row r="47" spans="1:12" x14ac:dyDescent="0.3">
      <c r="A47" s="36"/>
      <c r="H47" s="36"/>
      <c r="K47" s="35"/>
      <c r="L47" s="34" t="str">
        <f t="shared" si="2"/>
        <v>00.01 -Ped  - -R$</v>
      </c>
    </row>
  </sheetData>
  <conditionalFormatting sqref="A2:H9983">
    <cfRule type="expression" dxfId="4" priority="1">
      <formula>$H2="APROVADO"</formula>
    </cfRule>
    <cfRule type="expression" dxfId="3" priority="3">
      <formula>$H2="AGUARDANDO"</formula>
    </cfRule>
  </conditionalFormatting>
  <conditionalFormatting sqref="A2:L9983">
    <cfRule type="expression" dxfId="2" priority="4">
      <formula>LEN(TRIM($A2))=0</formula>
    </cfRule>
    <cfRule type="expression" dxfId="1" priority="5">
      <formula>LEN(TRIM($J2))=0</formula>
    </cfRule>
  </conditionalFormatting>
  <conditionalFormatting sqref="I2:L9983">
    <cfRule type="expression" dxfId="0" priority="2">
      <formula>LEN(TRIM($J2))&gt;0</formula>
    </cfRule>
  </conditionalFormatting>
  <dataValidations count="1">
    <dataValidation type="list" allowBlank="1" showInputMessage="1" showErrorMessage="1" sqref="H2:H47" xr:uid="{B46990C7-BCEF-4C0F-AFC4-A21D69DEF7A7}">
      <formula1>"Aprovado, Aguardando"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257A-4798-4D53-BA44-0BF931D1E497}">
  <sheetPr>
    <tabColor theme="9" tint="-0.499984740745262"/>
  </sheetPr>
  <dimension ref="A1:AA210"/>
  <sheetViews>
    <sheetView showGridLines="0" topLeftCell="A5" workbookViewId="0">
      <selection activeCell="K8" sqref="K8"/>
    </sheetView>
  </sheetViews>
  <sheetFormatPr defaultRowHeight="12" zeroHeight="1" x14ac:dyDescent="0.3"/>
  <cols>
    <col min="1" max="1" width="1.88671875" style="7" bestFit="1" customWidth="1"/>
    <col min="2" max="2" width="11.33203125" style="7" bestFit="1" customWidth="1"/>
    <col min="3" max="3" width="3.21875" style="7" bestFit="1" customWidth="1"/>
    <col min="4" max="5" width="6" style="7" bestFit="1" customWidth="1"/>
    <col min="6" max="6" width="3.5546875" style="71" bestFit="1" customWidth="1"/>
    <col min="7" max="7" width="4.33203125" style="71" bestFit="1" customWidth="1"/>
    <col min="8" max="8" width="4.6640625" style="71" bestFit="1" customWidth="1"/>
    <col min="9" max="9" width="4.88671875" style="71" bestFit="1" customWidth="1"/>
    <col min="10" max="10" width="5.109375" style="41" bestFit="1" customWidth="1"/>
    <col min="11" max="11" width="28.6640625" style="7" bestFit="1" customWidth="1"/>
    <col min="12" max="12" width="2.77734375" style="7" bestFit="1" customWidth="1"/>
    <col min="13" max="13" width="1.77734375" style="7" customWidth="1"/>
    <col min="14" max="14" width="7.77734375" style="7" bestFit="1" customWidth="1"/>
    <col min="15" max="15" width="13.77734375" style="7" bestFit="1" customWidth="1"/>
    <col min="16" max="16" width="42.77734375" style="7" bestFit="1" customWidth="1"/>
    <col min="17" max="17" width="18.5546875" style="7" bestFit="1" customWidth="1"/>
    <col min="18" max="18" width="23.6640625" style="7" bestFit="1" customWidth="1"/>
    <col min="19" max="19" width="2.77734375" style="7" bestFit="1" customWidth="1"/>
    <col min="20" max="20" width="8.88671875" style="7"/>
    <col min="21" max="21" width="1.5546875" style="7" bestFit="1" customWidth="1"/>
    <col min="22" max="22" width="28.5546875" style="8" customWidth="1"/>
    <col min="23" max="23" width="11.6640625" style="72" bestFit="1" customWidth="1"/>
    <col min="24" max="24" width="7.5546875" style="7" bestFit="1" customWidth="1"/>
    <col min="25" max="25" width="14.6640625" style="7" bestFit="1" customWidth="1"/>
    <col min="26" max="26" width="47.44140625" style="7" bestFit="1" customWidth="1"/>
    <col min="27" max="27" width="10.109375" style="7" bestFit="1" customWidth="1"/>
    <col min="28" max="16384" width="8.88671875" style="7"/>
  </cols>
  <sheetData>
    <row r="1" spans="1:27" ht="14.4" customHeight="1" x14ac:dyDescent="0.3">
      <c r="A1" s="37" t="s">
        <v>978</v>
      </c>
      <c r="B1" s="37" t="s">
        <v>167</v>
      </c>
      <c r="C1" s="37" t="s">
        <v>737</v>
      </c>
      <c r="D1" s="37" t="s">
        <v>738</v>
      </c>
      <c r="E1" s="37" t="s">
        <v>739</v>
      </c>
      <c r="F1" s="69" t="s">
        <v>740</v>
      </c>
      <c r="G1" s="69" t="s">
        <v>741</v>
      </c>
      <c r="H1" s="69" t="s">
        <v>742</v>
      </c>
      <c r="I1" s="69" t="s">
        <v>743</v>
      </c>
      <c r="J1" s="39" t="s">
        <v>744</v>
      </c>
      <c r="K1" s="37" t="s">
        <v>979</v>
      </c>
      <c r="L1" s="100" t="s">
        <v>174</v>
      </c>
      <c r="N1" s="37" t="s">
        <v>187</v>
      </c>
      <c r="O1" s="42" t="s">
        <v>293</v>
      </c>
      <c r="P1" s="37" t="s">
        <v>294</v>
      </c>
      <c r="Q1" s="37" t="s">
        <v>295</v>
      </c>
      <c r="R1" s="37" t="s">
        <v>296</v>
      </c>
      <c r="S1" s="100" t="s">
        <v>980</v>
      </c>
      <c r="U1" s="7">
        <v>1</v>
      </c>
      <c r="V1" s="87" t="s">
        <v>981</v>
      </c>
      <c r="W1" s="72" t="s">
        <v>999</v>
      </c>
      <c r="Y1" s="88" t="s">
        <v>187</v>
      </c>
      <c r="Z1" s="89" t="s">
        <v>1046</v>
      </c>
      <c r="AA1" s="83"/>
    </row>
    <row r="2" spans="1:27" x14ac:dyDescent="0.3">
      <c r="A2" s="38">
        <v>1</v>
      </c>
      <c r="B2" s="38" t="s">
        <v>745</v>
      </c>
      <c r="C2" s="38" t="s">
        <v>746</v>
      </c>
      <c r="D2" s="38" t="s">
        <v>747</v>
      </c>
      <c r="E2" s="38" t="s">
        <v>748</v>
      </c>
      <c r="F2" s="70">
        <v>2.2799999999999998</v>
      </c>
      <c r="G2" s="70">
        <v>3.1</v>
      </c>
      <c r="H2" s="70">
        <v>1</v>
      </c>
      <c r="I2" s="70">
        <v>1.57</v>
      </c>
      <c r="J2" s="40">
        <v>1200</v>
      </c>
      <c r="K2" s="38" t="str">
        <f>"A:"&amp;TEXT(F2,"0,00")&amp;" x C:"&amp;TEXT(G2,"0,00")&amp;" x L:"&amp;TEXT(H2,"0,00")&amp;"-"&amp;TEXT(I2,"0,00")&amp;" x P:"&amp;TEXT(J2,"0.00")&amp;"kg"</f>
        <v>A:2,28 x C:3,10 x L:1,00-1,57 x P:1.200kg</v>
      </c>
      <c r="L2" s="100"/>
      <c r="N2" s="38" t="str">
        <f>"0"&amp;LEFT(TEXT(SUBSTITUTE(SUBSTITUTE(SUBSTITUTE(O2,".",""),"/",""),"-",""),"00000000000000"),8)</f>
        <v>000428307</v>
      </c>
      <c r="O2" s="43">
        <v>428307001917</v>
      </c>
      <c r="P2" s="38" t="s">
        <v>297</v>
      </c>
      <c r="Q2" s="38" t="s">
        <v>298</v>
      </c>
      <c r="R2" s="38" t="s">
        <v>299</v>
      </c>
      <c r="S2" s="100"/>
      <c r="V2" s="8" t="s">
        <v>982</v>
      </c>
      <c r="Y2" s="73" t="s">
        <v>1047</v>
      </c>
      <c r="Z2" s="74" t="s">
        <v>1048</v>
      </c>
      <c r="AA2" s="75"/>
    </row>
    <row r="3" spans="1:27" x14ac:dyDescent="0.3">
      <c r="A3" s="38">
        <v>1</v>
      </c>
      <c r="B3" s="38" t="s">
        <v>749</v>
      </c>
      <c r="C3" s="38" t="s">
        <v>746</v>
      </c>
      <c r="D3" s="38" t="s">
        <v>750</v>
      </c>
      <c r="E3" s="38" t="s">
        <v>751</v>
      </c>
      <c r="F3" s="70">
        <v>2.6</v>
      </c>
      <c r="G3" s="70">
        <v>4.08</v>
      </c>
      <c r="H3" s="70">
        <v>1.45</v>
      </c>
      <c r="I3" s="70">
        <v>2</v>
      </c>
      <c r="J3" s="40">
        <v>5100</v>
      </c>
      <c r="K3" s="38" t="str">
        <f t="shared" ref="K3:K66" si="0">"A:"&amp;TEXT(F3,"0,00")&amp;" x C:"&amp;TEXT(G3,"0,00")&amp;" x L:"&amp;TEXT(H3,"0,00")&amp;"-"&amp;TEXT(I3,"0,00")&amp;" x P:"&amp;TEXT(J3,"0.00")&amp;"kg"</f>
        <v>A:2,60 x C:4,08 x L:1,45-2,00 x P:5.100kg</v>
      </c>
      <c r="L3" s="100"/>
      <c r="N3" s="38" t="str">
        <f t="shared" ref="N3:N66" si="1">"0"&amp;LEFT(TEXT(SUBSTITUTE(SUBSTITUTE(SUBSTITUTE(O3,".",""),"/",""),"-",""),"00000000000000"),8)</f>
        <v>056953013</v>
      </c>
      <c r="O3" s="43">
        <v>56953013000130</v>
      </c>
      <c r="P3" s="38" t="s">
        <v>300</v>
      </c>
      <c r="Q3" s="38" t="s">
        <v>301</v>
      </c>
      <c r="R3" s="38" t="s">
        <v>302</v>
      </c>
      <c r="S3" s="100"/>
      <c r="U3" s="7">
        <v>2</v>
      </c>
      <c r="V3" s="87" t="s">
        <v>983</v>
      </c>
      <c r="W3" s="72" t="s">
        <v>1000</v>
      </c>
      <c r="Y3" s="73" t="s">
        <v>1049</v>
      </c>
      <c r="Z3" s="74" t="s">
        <v>193</v>
      </c>
      <c r="AA3" s="75"/>
    </row>
    <row r="4" spans="1:27" x14ac:dyDescent="0.3">
      <c r="A4" s="38">
        <v>1</v>
      </c>
      <c r="B4" s="38" t="s">
        <v>749</v>
      </c>
      <c r="C4" s="38" t="s">
        <v>746</v>
      </c>
      <c r="D4" s="38" t="s">
        <v>750</v>
      </c>
      <c r="E4" s="38" t="s">
        <v>752</v>
      </c>
      <c r="F4" s="70">
        <v>2.38</v>
      </c>
      <c r="G4" s="70">
        <v>4.08</v>
      </c>
      <c r="H4" s="70">
        <v>1.44</v>
      </c>
      <c r="I4" s="70">
        <v>1.88</v>
      </c>
      <c r="J4" s="40">
        <v>2710</v>
      </c>
      <c r="K4" s="38" t="str">
        <f t="shared" si="0"/>
        <v>A:2,38 x C:4,08 x L:1,44-1,88 x P:2.710kg</v>
      </c>
      <c r="L4" s="100"/>
      <c r="N4" s="38" t="str">
        <f t="shared" si="1"/>
        <v>060968275</v>
      </c>
      <c r="O4" s="43">
        <v>60968275000145</v>
      </c>
      <c r="P4" s="38" t="s">
        <v>303</v>
      </c>
      <c r="Q4" s="38" t="s">
        <v>304</v>
      </c>
      <c r="R4" s="38" t="s">
        <v>305</v>
      </c>
      <c r="S4" s="100"/>
      <c r="V4" s="8" t="s">
        <v>984</v>
      </c>
      <c r="Y4" s="73" t="s">
        <v>1050</v>
      </c>
      <c r="Z4" s="74" t="s">
        <v>1051</v>
      </c>
      <c r="AA4" s="75"/>
    </row>
    <row r="5" spans="1:27" x14ac:dyDescent="0.3">
      <c r="A5" s="38">
        <v>1</v>
      </c>
      <c r="B5" s="38" t="s">
        <v>749</v>
      </c>
      <c r="C5" s="38" t="s">
        <v>746</v>
      </c>
      <c r="D5" s="38" t="s">
        <v>750</v>
      </c>
      <c r="E5" s="38" t="s">
        <v>753</v>
      </c>
      <c r="F5" s="70">
        <v>2.38</v>
      </c>
      <c r="G5" s="70">
        <v>4.08</v>
      </c>
      <c r="H5" s="70">
        <v>1.44</v>
      </c>
      <c r="I5" s="70">
        <v>1.88</v>
      </c>
      <c r="J5" s="40">
        <v>2710</v>
      </c>
      <c r="K5" s="38" t="str">
        <f t="shared" si="0"/>
        <v>A:2,38 x C:4,08 x L:1,44-1,88 x P:2.710kg</v>
      </c>
      <c r="L5" s="100"/>
      <c r="N5" s="38" t="str">
        <f t="shared" si="1"/>
        <v>000428307</v>
      </c>
      <c r="O5" s="43">
        <v>428307001240</v>
      </c>
      <c r="P5" s="38" t="s">
        <v>298</v>
      </c>
      <c r="Q5" s="38" t="s">
        <v>298</v>
      </c>
      <c r="R5" s="38" t="s">
        <v>306</v>
      </c>
      <c r="S5" s="100"/>
      <c r="U5" s="7">
        <v>3</v>
      </c>
      <c r="V5" s="87" t="s">
        <v>985</v>
      </c>
      <c r="W5" s="72" t="s">
        <v>1001</v>
      </c>
      <c r="Y5" s="73" t="s">
        <v>1052</v>
      </c>
      <c r="Z5" s="74" t="s">
        <v>1053</v>
      </c>
      <c r="AA5" s="75"/>
    </row>
    <row r="6" spans="1:27" x14ac:dyDescent="0.3">
      <c r="A6" s="38">
        <v>1</v>
      </c>
      <c r="B6" s="38" t="s">
        <v>749</v>
      </c>
      <c r="C6" s="38" t="s">
        <v>746</v>
      </c>
      <c r="D6" s="38" t="s">
        <v>754</v>
      </c>
      <c r="E6" s="38" t="s">
        <v>755</v>
      </c>
      <c r="F6" s="70">
        <v>2.6</v>
      </c>
      <c r="G6" s="70">
        <v>4.08</v>
      </c>
      <c r="H6" s="70">
        <v>1.45</v>
      </c>
      <c r="I6" s="70">
        <v>2</v>
      </c>
      <c r="J6" s="40">
        <v>5100</v>
      </c>
      <c r="K6" s="38" t="str">
        <f t="shared" si="0"/>
        <v>A:2,60 x C:4,08 x L:1,45-2,00 x P:5.100kg</v>
      </c>
      <c r="L6" s="100"/>
      <c r="N6" s="38" t="str">
        <f t="shared" si="1"/>
        <v>000428307</v>
      </c>
      <c r="O6" s="43">
        <v>428307001321</v>
      </c>
      <c r="P6" s="38" t="s">
        <v>298</v>
      </c>
      <c r="Q6" s="38" t="s">
        <v>298</v>
      </c>
      <c r="R6" s="38" t="s">
        <v>306</v>
      </c>
      <c r="S6" s="100"/>
      <c r="V6" s="8" t="s">
        <v>986</v>
      </c>
      <c r="Y6" s="73" t="s">
        <v>1054</v>
      </c>
      <c r="Z6" s="74" t="s">
        <v>1055</v>
      </c>
      <c r="AA6" s="76" t="s">
        <v>1056</v>
      </c>
    </row>
    <row r="7" spans="1:27" x14ac:dyDescent="0.3">
      <c r="A7" s="38">
        <v>1</v>
      </c>
      <c r="B7" s="38" t="s">
        <v>749</v>
      </c>
      <c r="C7" s="38" t="s">
        <v>746</v>
      </c>
      <c r="D7" s="38" t="s">
        <v>756</v>
      </c>
      <c r="E7" s="38" t="s">
        <v>757</v>
      </c>
      <c r="F7" s="70">
        <v>2.77</v>
      </c>
      <c r="G7" s="70">
        <v>4.17</v>
      </c>
      <c r="H7" s="70">
        <v>1.45</v>
      </c>
      <c r="I7" s="70">
        <v>2</v>
      </c>
      <c r="J7" s="40">
        <v>5100</v>
      </c>
      <c r="K7" s="38" t="str">
        <f t="shared" si="0"/>
        <v>A:2,77 x C:4,17 x L:1,45-2,00 x P:5.100kg</v>
      </c>
      <c r="L7" s="100"/>
      <c r="N7" s="38" t="str">
        <f t="shared" si="1"/>
        <v>000428307</v>
      </c>
      <c r="O7" s="43">
        <v>428307000279</v>
      </c>
      <c r="P7" s="38" t="s">
        <v>298</v>
      </c>
      <c r="Q7" s="38" t="s">
        <v>298</v>
      </c>
      <c r="R7" s="38" t="s">
        <v>307</v>
      </c>
      <c r="S7" s="100"/>
      <c r="U7" s="7">
        <v>4</v>
      </c>
      <c r="V7" s="87" t="s">
        <v>987</v>
      </c>
      <c r="W7" s="72" t="s">
        <v>1002</v>
      </c>
      <c r="Y7" s="73" t="s">
        <v>1057</v>
      </c>
      <c r="Z7" s="74" t="s">
        <v>1058</v>
      </c>
      <c r="AA7" s="76"/>
    </row>
    <row r="8" spans="1:27" x14ac:dyDescent="0.3">
      <c r="A8" s="38">
        <v>1</v>
      </c>
      <c r="B8" s="38" t="s">
        <v>749</v>
      </c>
      <c r="C8" s="38" t="s">
        <v>746</v>
      </c>
      <c r="D8" s="38" t="s">
        <v>758</v>
      </c>
      <c r="E8" s="38" t="s">
        <v>759</v>
      </c>
      <c r="F8" s="70">
        <v>2.6</v>
      </c>
      <c r="G8" s="70">
        <v>4.08</v>
      </c>
      <c r="H8" s="70">
        <v>1.45</v>
      </c>
      <c r="I8" s="70">
        <v>2</v>
      </c>
      <c r="J8" s="40">
        <v>5100</v>
      </c>
      <c r="K8" s="38" t="str">
        <f t="shared" si="0"/>
        <v>A:2,60 x C:4,08 x L:1,45-2,00 x P:5.100kg</v>
      </c>
      <c r="L8" s="100"/>
      <c r="N8" s="38" t="str">
        <f t="shared" si="1"/>
        <v>000428307</v>
      </c>
      <c r="O8" s="43">
        <v>428307000864</v>
      </c>
      <c r="P8" s="38" t="s">
        <v>297</v>
      </c>
      <c r="Q8" s="38" t="s">
        <v>298</v>
      </c>
      <c r="R8" s="38" t="s">
        <v>308</v>
      </c>
      <c r="S8" s="100"/>
      <c r="V8" s="8" t="s">
        <v>988</v>
      </c>
      <c r="Y8" s="88" t="s">
        <v>187</v>
      </c>
      <c r="Z8" s="89" t="s">
        <v>1059</v>
      </c>
      <c r="AA8" s="77"/>
    </row>
    <row r="9" spans="1:27" x14ac:dyDescent="0.3">
      <c r="A9" s="38">
        <v>1</v>
      </c>
      <c r="B9" s="38" t="s">
        <v>749</v>
      </c>
      <c r="C9" s="38" t="s">
        <v>746</v>
      </c>
      <c r="D9" s="38" t="s">
        <v>760</v>
      </c>
      <c r="E9" s="38" t="s">
        <v>761</v>
      </c>
      <c r="F9" s="70">
        <v>2.77</v>
      </c>
      <c r="G9" s="70">
        <v>4.17</v>
      </c>
      <c r="H9" s="70">
        <v>1.45</v>
      </c>
      <c r="I9" s="70">
        <v>2</v>
      </c>
      <c r="J9" s="40">
        <v>5100</v>
      </c>
      <c r="K9" s="38" t="str">
        <f t="shared" si="0"/>
        <v>A:2,77 x C:4,17 x L:1,45-2,00 x P:5.100kg</v>
      </c>
      <c r="L9" s="100"/>
      <c r="N9" s="38" t="str">
        <f t="shared" si="1"/>
        <v>000428307</v>
      </c>
      <c r="O9" s="43">
        <v>428307000600</v>
      </c>
      <c r="P9" s="38" t="s">
        <v>297</v>
      </c>
      <c r="Q9" s="38" t="s">
        <v>298</v>
      </c>
      <c r="R9" s="38" t="s">
        <v>309</v>
      </c>
      <c r="S9" s="100"/>
      <c r="U9" s="7">
        <v>5</v>
      </c>
      <c r="V9" s="87" t="s">
        <v>989</v>
      </c>
      <c r="W9" s="72" t="s">
        <v>1003</v>
      </c>
      <c r="Y9" s="73">
        <v>101001</v>
      </c>
      <c r="Z9" s="74" t="s">
        <v>1060</v>
      </c>
      <c r="AA9" s="75"/>
    </row>
    <row r="10" spans="1:27" x14ac:dyDescent="0.3">
      <c r="A10" s="38">
        <v>1</v>
      </c>
      <c r="B10" s="38" t="s">
        <v>762</v>
      </c>
      <c r="C10" s="38" t="s">
        <v>746</v>
      </c>
      <c r="D10" s="38" t="s">
        <v>763</v>
      </c>
      <c r="E10" s="38" t="s">
        <v>764</v>
      </c>
      <c r="F10" s="70">
        <v>2.72</v>
      </c>
      <c r="G10" s="70">
        <v>4.5599999999999996</v>
      </c>
      <c r="H10" s="70">
        <v>2.5</v>
      </c>
      <c r="I10" s="70">
        <v>3.3</v>
      </c>
      <c r="J10" s="40">
        <v>5600</v>
      </c>
      <c r="K10" s="38" t="str">
        <f t="shared" si="0"/>
        <v>A:2,72 x C:4,56 x L:2,50-3,30 x P:5.600kg</v>
      </c>
      <c r="L10" s="100"/>
      <c r="N10" s="38" t="str">
        <f t="shared" si="1"/>
        <v>000428307</v>
      </c>
      <c r="O10" s="43">
        <v>428307000198</v>
      </c>
      <c r="P10" s="38" t="s">
        <v>297</v>
      </c>
      <c r="Q10" s="38" t="s">
        <v>298</v>
      </c>
      <c r="R10" s="38" t="s">
        <v>310</v>
      </c>
      <c r="S10" s="100"/>
      <c r="V10" s="8" t="s">
        <v>990</v>
      </c>
      <c r="Y10" s="73">
        <v>105001</v>
      </c>
      <c r="Z10" s="74" t="s">
        <v>1061</v>
      </c>
      <c r="AA10" s="75"/>
    </row>
    <row r="11" spans="1:27" x14ac:dyDescent="0.3">
      <c r="A11" s="38">
        <v>1</v>
      </c>
      <c r="B11" s="38" t="s">
        <v>762</v>
      </c>
      <c r="C11" s="38" t="s">
        <v>746</v>
      </c>
      <c r="D11" s="38" t="s">
        <v>765</v>
      </c>
      <c r="E11" s="38" t="s">
        <v>766</v>
      </c>
      <c r="F11" s="70">
        <v>2.72</v>
      </c>
      <c r="G11" s="70">
        <v>4.5599999999999996</v>
      </c>
      <c r="H11" s="70">
        <v>2.6</v>
      </c>
      <c r="I11" s="70">
        <v>3.3</v>
      </c>
      <c r="J11" s="40">
        <v>6300</v>
      </c>
      <c r="K11" s="38" t="str">
        <f t="shared" si="0"/>
        <v>A:2,72 x C:4,56 x L:2,60-3,30 x P:6.300kg</v>
      </c>
      <c r="L11" s="100"/>
      <c r="N11" s="38" t="str">
        <f t="shared" si="1"/>
        <v>000428307</v>
      </c>
      <c r="O11" s="43">
        <v>428307001674</v>
      </c>
      <c r="P11" s="38" t="s">
        <v>297</v>
      </c>
      <c r="Q11" s="38" t="s">
        <v>298</v>
      </c>
      <c r="R11" s="38" t="s">
        <v>311</v>
      </c>
      <c r="S11" s="100"/>
      <c r="U11" s="7">
        <v>6</v>
      </c>
      <c r="V11" s="87" t="s">
        <v>991</v>
      </c>
      <c r="W11" s="72" t="s">
        <v>1004</v>
      </c>
      <c r="Y11" s="73">
        <v>105003</v>
      </c>
      <c r="Z11" s="74" t="s">
        <v>1062</v>
      </c>
      <c r="AA11" s="75"/>
    </row>
    <row r="12" spans="1:27" x14ac:dyDescent="0.3">
      <c r="A12" s="38">
        <v>1</v>
      </c>
      <c r="B12" s="38" t="s">
        <v>762</v>
      </c>
      <c r="C12" s="38" t="s">
        <v>746</v>
      </c>
      <c r="D12" s="38" t="s">
        <v>767</v>
      </c>
      <c r="E12" s="38" t="s">
        <v>768</v>
      </c>
      <c r="F12" s="70">
        <v>2.72</v>
      </c>
      <c r="G12" s="70">
        <v>4.5599999999999996</v>
      </c>
      <c r="H12" s="70">
        <v>2.7</v>
      </c>
      <c r="I12" s="70">
        <v>3.35</v>
      </c>
      <c r="J12" s="40">
        <v>6800</v>
      </c>
      <c r="K12" s="38" t="str">
        <f t="shared" si="0"/>
        <v>A:2,72 x C:4,56 x L:2,70-3,35 x P:6.800kg</v>
      </c>
      <c r="L12" s="100"/>
      <c r="N12" s="38" t="str">
        <f t="shared" si="1"/>
        <v>000428307</v>
      </c>
      <c r="O12" s="43">
        <v>428307000350</v>
      </c>
      <c r="P12" s="38" t="s">
        <v>297</v>
      </c>
      <c r="Q12" s="38" t="s">
        <v>298</v>
      </c>
      <c r="R12" s="38" t="s">
        <v>312</v>
      </c>
      <c r="S12" s="100"/>
      <c r="V12" s="8" t="s">
        <v>992</v>
      </c>
      <c r="Y12" s="73">
        <v>110002</v>
      </c>
      <c r="Z12" s="74" t="s">
        <v>1063</v>
      </c>
      <c r="AA12" s="75"/>
    </row>
    <row r="13" spans="1:27" x14ac:dyDescent="0.3">
      <c r="A13" s="38">
        <v>1</v>
      </c>
      <c r="B13" s="38" t="s">
        <v>762</v>
      </c>
      <c r="C13" s="38" t="s">
        <v>746</v>
      </c>
      <c r="D13" s="38" t="s">
        <v>769</v>
      </c>
      <c r="E13" s="38" t="s">
        <v>770</v>
      </c>
      <c r="F13" s="70">
        <v>2.74</v>
      </c>
      <c r="G13" s="70">
        <v>4.92</v>
      </c>
      <c r="H13" s="70">
        <v>2.87</v>
      </c>
      <c r="I13" s="70">
        <v>3.45</v>
      </c>
      <c r="J13" s="40">
        <v>7200</v>
      </c>
      <c r="K13" s="38" t="str">
        <f t="shared" si="0"/>
        <v>A:2,74 x C:4,92 x L:2,87-3,45 x P:7.200kg</v>
      </c>
      <c r="L13" s="100"/>
      <c r="N13" s="38" t="str">
        <f t="shared" si="1"/>
        <v>000428307</v>
      </c>
      <c r="O13" s="43">
        <v>428307000430</v>
      </c>
      <c r="P13" s="38" t="s">
        <v>297</v>
      </c>
      <c r="Q13" s="38" t="s">
        <v>298</v>
      </c>
      <c r="R13" s="38" t="s">
        <v>313</v>
      </c>
      <c r="S13" s="100"/>
      <c r="U13" s="7">
        <v>7</v>
      </c>
      <c r="V13" s="87" t="s">
        <v>993</v>
      </c>
      <c r="W13" s="72" t="s">
        <v>1005</v>
      </c>
      <c r="Y13" s="73">
        <v>101003</v>
      </c>
      <c r="Z13" s="74" t="s">
        <v>1064</v>
      </c>
      <c r="AA13" s="75"/>
    </row>
    <row r="14" spans="1:27" x14ac:dyDescent="0.3">
      <c r="A14" s="38">
        <v>1</v>
      </c>
      <c r="B14" s="38" t="s">
        <v>762</v>
      </c>
      <c r="C14" s="38" t="s">
        <v>746</v>
      </c>
      <c r="D14" s="38" t="s">
        <v>769</v>
      </c>
      <c r="E14" s="38" t="s">
        <v>771</v>
      </c>
      <c r="F14" s="70">
        <v>2.2799999999999998</v>
      </c>
      <c r="G14" s="70">
        <v>4.5599999999999996</v>
      </c>
      <c r="H14" s="70">
        <v>2.87</v>
      </c>
      <c r="I14" s="70">
        <v>3.45</v>
      </c>
      <c r="J14" s="40">
        <v>7500</v>
      </c>
      <c r="K14" s="38" t="str">
        <f t="shared" si="0"/>
        <v>A:2,28 x C:4,56 x L:2,87-3,45 x P:7.500kg</v>
      </c>
      <c r="L14" s="100"/>
      <c r="N14" s="38" t="str">
        <f t="shared" si="1"/>
        <v>000428307</v>
      </c>
      <c r="O14" s="43">
        <v>428307000783</v>
      </c>
      <c r="P14" s="38" t="s">
        <v>297</v>
      </c>
      <c r="Q14" s="38" t="s">
        <v>298</v>
      </c>
      <c r="R14" s="38" t="s">
        <v>314</v>
      </c>
      <c r="S14" s="100"/>
      <c r="V14" s="8" t="s">
        <v>994</v>
      </c>
      <c r="Y14" s="73">
        <v>115004</v>
      </c>
      <c r="Z14" s="74" t="s">
        <v>1065</v>
      </c>
      <c r="AA14" s="75"/>
    </row>
    <row r="15" spans="1:27" x14ac:dyDescent="0.3">
      <c r="A15" s="38">
        <v>1</v>
      </c>
      <c r="B15" s="38" t="s">
        <v>762</v>
      </c>
      <c r="C15" s="38" t="s">
        <v>746</v>
      </c>
      <c r="D15" s="38" t="s">
        <v>772</v>
      </c>
      <c r="E15" s="38" t="s">
        <v>773</v>
      </c>
      <c r="F15" s="70">
        <v>2.86</v>
      </c>
      <c r="G15" s="70">
        <v>4.96</v>
      </c>
      <c r="H15" s="70">
        <v>2.7</v>
      </c>
      <c r="I15" s="70">
        <v>3.3</v>
      </c>
      <c r="J15" s="40">
        <v>7800</v>
      </c>
      <c r="K15" s="38" t="str">
        <f t="shared" si="0"/>
        <v>A:2,86 x C:4,96 x L:2,70-3,30 x P:7.800kg</v>
      </c>
      <c r="L15" s="100"/>
      <c r="N15" s="38" t="str">
        <f t="shared" si="1"/>
        <v>000428307</v>
      </c>
      <c r="O15" s="43">
        <v>428307000511</v>
      </c>
      <c r="P15" s="38" t="s">
        <v>297</v>
      </c>
      <c r="Q15" s="38" t="s">
        <v>298</v>
      </c>
      <c r="R15" s="38" t="s">
        <v>315</v>
      </c>
      <c r="S15" s="100"/>
      <c r="U15" s="7">
        <v>8</v>
      </c>
      <c r="V15" s="87" t="s">
        <v>995</v>
      </c>
      <c r="W15" s="72" t="s">
        <v>1006</v>
      </c>
      <c r="Y15" s="73">
        <v>120007</v>
      </c>
      <c r="Z15" s="78" t="s">
        <v>1066</v>
      </c>
      <c r="AA15" s="79"/>
    </row>
    <row r="16" spans="1:27" x14ac:dyDescent="0.3">
      <c r="A16" s="38">
        <v>1</v>
      </c>
      <c r="B16" s="38" t="s">
        <v>762</v>
      </c>
      <c r="C16" s="38" t="s">
        <v>746</v>
      </c>
      <c r="D16" s="38" t="s">
        <v>772</v>
      </c>
      <c r="E16" s="38" t="s">
        <v>774</v>
      </c>
      <c r="F16" s="70">
        <v>2.93</v>
      </c>
      <c r="G16" s="70">
        <v>4.6500000000000004</v>
      </c>
      <c r="H16" s="70">
        <v>2.7</v>
      </c>
      <c r="I16" s="70">
        <v>3.3</v>
      </c>
      <c r="J16" s="40">
        <v>8500</v>
      </c>
      <c r="K16" s="38" t="str">
        <f t="shared" si="0"/>
        <v>A:2,93 x C:4,65 x L:2,70-3,30 x P:8.500kg</v>
      </c>
      <c r="L16" s="100"/>
      <c r="N16" s="38" t="str">
        <f t="shared" si="1"/>
        <v>000428307</v>
      </c>
      <c r="O16" s="43">
        <v>428307001160</v>
      </c>
      <c r="P16" s="38" t="s">
        <v>316</v>
      </c>
      <c r="Q16" s="38" t="s">
        <v>298</v>
      </c>
      <c r="R16" s="38" t="s">
        <v>317</v>
      </c>
      <c r="S16" s="100"/>
      <c r="V16" s="8" t="s">
        <v>996</v>
      </c>
      <c r="Y16" s="73">
        <v>120006</v>
      </c>
      <c r="Z16" s="78" t="s">
        <v>1067</v>
      </c>
      <c r="AA16" s="79"/>
    </row>
    <row r="17" spans="1:27" x14ac:dyDescent="0.3">
      <c r="A17" s="38">
        <v>1</v>
      </c>
      <c r="B17" s="38" t="s">
        <v>762</v>
      </c>
      <c r="C17" s="38" t="s">
        <v>746</v>
      </c>
      <c r="D17" s="38" t="s">
        <v>775</v>
      </c>
      <c r="E17" s="38" t="s">
        <v>776</v>
      </c>
      <c r="F17" s="70">
        <v>2.93</v>
      </c>
      <c r="G17" s="70">
        <v>5.42</v>
      </c>
      <c r="H17" s="70">
        <v>2.74</v>
      </c>
      <c r="I17" s="70">
        <v>3.4</v>
      </c>
      <c r="J17" s="40">
        <v>8500</v>
      </c>
      <c r="K17" s="38" t="str">
        <f t="shared" si="0"/>
        <v>A:2,93 x C:5,42 x L:2,74-3,40 x P:8.500kg</v>
      </c>
      <c r="L17" s="100"/>
      <c r="N17" s="38" t="str">
        <f t="shared" si="1"/>
        <v>000428307</v>
      </c>
      <c r="O17" s="43">
        <v>428307001089</v>
      </c>
      <c r="P17" s="38" t="s">
        <v>318</v>
      </c>
      <c r="Q17" s="38" t="s">
        <v>298</v>
      </c>
      <c r="R17" s="38" t="s">
        <v>319</v>
      </c>
      <c r="S17" s="100"/>
      <c r="V17" s="7"/>
      <c r="W17" s="72" t="s">
        <v>997</v>
      </c>
      <c r="Y17" s="88" t="s">
        <v>1068</v>
      </c>
      <c r="Z17" s="89" t="s">
        <v>1069</v>
      </c>
      <c r="AA17" s="77"/>
    </row>
    <row r="18" spans="1:27" x14ac:dyDescent="0.3">
      <c r="A18" s="38">
        <v>1</v>
      </c>
      <c r="B18" s="38" t="s">
        <v>762</v>
      </c>
      <c r="C18" s="38" t="s">
        <v>746</v>
      </c>
      <c r="D18" s="38" t="s">
        <v>775</v>
      </c>
      <c r="E18" s="38" t="s">
        <v>777</v>
      </c>
      <c r="F18" s="70">
        <v>3.3</v>
      </c>
      <c r="G18" s="70">
        <v>5.24</v>
      </c>
      <c r="H18" s="70">
        <v>2.74</v>
      </c>
      <c r="I18" s="70">
        <v>3.4</v>
      </c>
      <c r="J18" s="40">
        <v>9550</v>
      </c>
      <c r="K18" s="38" t="str">
        <f t="shared" si="0"/>
        <v>A:3,30 x C:5,24 x L:2,74-3,40 x P:9.550kg</v>
      </c>
      <c r="L18" s="100"/>
      <c r="N18" s="38" t="str">
        <f t="shared" si="1"/>
        <v>082332735</v>
      </c>
      <c r="O18" s="43">
        <v>82332735000500</v>
      </c>
      <c r="P18" s="38" t="s">
        <v>320</v>
      </c>
      <c r="Q18" s="38" t="s">
        <v>321</v>
      </c>
      <c r="R18" s="38" t="s">
        <v>322</v>
      </c>
      <c r="S18" s="100"/>
      <c r="V18" s="7"/>
      <c r="W18" s="72" t="s">
        <v>998</v>
      </c>
      <c r="Y18" s="74" t="s">
        <v>1070</v>
      </c>
      <c r="Z18" s="80" t="s">
        <v>1071</v>
      </c>
      <c r="AA18" s="76" t="s">
        <v>1072</v>
      </c>
    </row>
    <row r="19" spans="1:27" x14ac:dyDescent="0.3">
      <c r="A19" s="38">
        <v>1</v>
      </c>
      <c r="B19" s="38" t="s">
        <v>762</v>
      </c>
      <c r="C19" s="38" t="s">
        <v>746</v>
      </c>
      <c r="D19" s="38" t="s">
        <v>778</v>
      </c>
      <c r="E19" s="38" t="s">
        <v>779</v>
      </c>
      <c r="F19" s="70">
        <v>2.98</v>
      </c>
      <c r="G19" s="70">
        <v>5.42</v>
      </c>
      <c r="H19" s="70">
        <v>2.95</v>
      </c>
      <c r="I19" s="70">
        <v>3.6</v>
      </c>
      <c r="J19" s="40">
        <v>9800</v>
      </c>
      <c r="K19" s="38" t="str">
        <f t="shared" si="0"/>
        <v>A:2,98 x C:5,42 x L:2,95-3,60 x P:9.800kg</v>
      </c>
      <c r="L19" s="100"/>
      <c r="N19" s="38" t="str">
        <f t="shared" si="1"/>
        <v>082332735</v>
      </c>
      <c r="O19" s="43">
        <v>82332735000420</v>
      </c>
      <c r="P19" s="38" t="s">
        <v>323</v>
      </c>
      <c r="Q19" s="38" t="s">
        <v>321</v>
      </c>
      <c r="R19" s="38" t="s">
        <v>322</v>
      </c>
      <c r="S19" s="100"/>
      <c r="V19" s="7"/>
      <c r="Y19" s="74" t="s">
        <v>1073</v>
      </c>
      <c r="Z19" s="80" t="s">
        <v>1074</v>
      </c>
      <c r="AA19" s="76" t="s">
        <v>1075</v>
      </c>
    </row>
    <row r="20" spans="1:27" x14ac:dyDescent="0.3">
      <c r="A20" s="38">
        <v>1</v>
      </c>
      <c r="B20" s="38" t="s">
        <v>762</v>
      </c>
      <c r="C20" s="38" t="s">
        <v>746</v>
      </c>
      <c r="D20" s="38" t="s">
        <v>778</v>
      </c>
      <c r="E20" s="38" t="s">
        <v>780</v>
      </c>
      <c r="F20" s="70">
        <v>3.3</v>
      </c>
      <c r="G20" s="70">
        <v>5.24</v>
      </c>
      <c r="H20" s="70">
        <v>2.95</v>
      </c>
      <c r="I20" s="70">
        <v>3.6</v>
      </c>
      <c r="J20" s="40">
        <v>10650</v>
      </c>
      <c r="K20" s="38" t="str">
        <f t="shared" si="0"/>
        <v>A:3,30 x C:5,24 x L:2,95-3,60 x P:10.650kg</v>
      </c>
      <c r="L20" s="100"/>
      <c r="N20" s="38" t="str">
        <f t="shared" si="1"/>
        <v>082332735</v>
      </c>
      <c r="O20" s="43">
        <v>82332735000268</v>
      </c>
      <c r="P20" s="38" t="s">
        <v>324</v>
      </c>
      <c r="Q20" s="38" t="s">
        <v>321</v>
      </c>
      <c r="R20" s="38" t="s">
        <v>322</v>
      </c>
      <c r="S20" s="100"/>
      <c r="V20" s="37" t="s">
        <v>1007</v>
      </c>
      <c r="Y20" s="90" t="s">
        <v>184</v>
      </c>
      <c r="Z20" s="90" t="s">
        <v>1076</v>
      </c>
      <c r="AA20" s="77"/>
    </row>
    <row r="21" spans="1:27" x14ac:dyDescent="0.3">
      <c r="A21" s="38">
        <v>1</v>
      </c>
      <c r="B21" s="38" t="s">
        <v>762</v>
      </c>
      <c r="C21" s="38" t="s">
        <v>746</v>
      </c>
      <c r="D21" s="38" t="s">
        <v>781</v>
      </c>
      <c r="E21" s="38" t="s">
        <v>782</v>
      </c>
      <c r="F21" s="70">
        <v>2.93</v>
      </c>
      <c r="G21" s="70">
        <v>5.42</v>
      </c>
      <c r="H21" s="70">
        <v>2.92</v>
      </c>
      <c r="I21" s="70">
        <v>3.6</v>
      </c>
      <c r="J21" s="40">
        <v>11000</v>
      </c>
      <c r="K21" s="38" t="str">
        <f t="shared" si="0"/>
        <v>A:2,93 x C:5,42 x L:2,92-3,60 x P:11.000kg</v>
      </c>
      <c r="N21" s="38" t="str">
        <f t="shared" si="1"/>
        <v>082332735</v>
      </c>
      <c r="O21" s="43">
        <v>82332735000853</v>
      </c>
      <c r="P21" s="38" t="s">
        <v>324</v>
      </c>
      <c r="Q21" s="38" t="s">
        <v>321</v>
      </c>
      <c r="R21" s="38" t="s">
        <v>322</v>
      </c>
      <c r="V21" s="38" t="s">
        <v>1008</v>
      </c>
      <c r="Y21" s="81" t="s">
        <v>1077</v>
      </c>
      <c r="Z21" s="81" t="s">
        <v>1078</v>
      </c>
      <c r="AA21" s="82"/>
    </row>
    <row r="22" spans="1:27" x14ac:dyDescent="0.3">
      <c r="A22" s="38">
        <v>1</v>
      </c>
      <c r="B22" s="38" t="s">
        <v>762</v>
      </c>
      <c r="C22" s="38" t="s">
        <v>746</v>
      </c>
      <c r="D22" s="38" t="s">
        <v>781</v>
      </c>
      <c r="E22" s="38" t="s">
        <v>783</v>
      </c>
      <c r="F22" s="70">
        <v>3.31</v>
      </c>
      <c r="G22" s="70">
        <v>5.0199999999999996</v>
      </c>
      <c r="H22" s="70">
        <v>2.92</v>
      </c>
      <c r="I22" s="70">
        <v>3.6</v>
      </c>
      <c r="J22" s="40">
        <v>11750</v>
      </c>
      <c r="K22" s="38" t="str">
        <f t="shared" si="0"/>
        <v>A:3,31 x C:5,02 x L:2,92-3,60 x P:11.750kg</v>
      </c>
      <c r="N22" s="38" t="str">
        <f t="shared" si="1"/>
        <v>082332735</v>
      </c>
      <c r="O22" s="43">
        <v>82332735000349</v>
      </c>
      <c r="P22" s="38" t="s">
        <v>325</v>
      </c>
      <c r="Q22" s="38" t="s">
        <v>321</v>
      </c>
      <c r="R22" s="38" t="s">
        <v>322</v>
      </c>
      <c r="V22" s="38" t="s">
        <v>1009</v>
      </c>
      <c r="W22" s="7"/>
      <c r="Y22" s="81" t="s">
        <v>1079</v>
      </c>
      <c r="Z22" s="81" t="s">
        <v>1080</v>
      </c>
      <c r="AA22" s="82"/>
    </row>
    <row r="23" spans="1:27" x14ac:dyDescent="0.3">
      <c r="A23" s="38">
        <v>1</v>
      </c>
      <c r="B23" s="38" t="s">
        <v>784</v>
      </c>
      <c r="C23" s="38" t="s">
        <v>746</v>
      </c>
      <c r="D23" s="38" t="s">
        <v>785</v>
      </c>
      <c r="E23" s="38" t="s">
        <v>786</v>
      </c>
      <c r="F23" s="70">
        <v>3.17</v>
      </c>
      <c r="G23" s="70">
        <v>5.82</v>
      </c>
      <c r="H23" s="70">
        <v>2.4300000000000002</v>
      </c>
      <c r="I23" s="70">
        <v>3</v>
      </c>
      <c r="J23" s="40">
        <v>11400</v>
      </c>
      <c r="K23" s="38" t="str">
        <f t="shared" si="0"/>
        <v>A:3,17 x C:5,82 x L:2,43-3,00 x P:11.400kg</v>
      </c>
      <c r="N23" s="38" t="str">
        <f t="shared" si="1"/>
        <v>017489822</v>
      </c>
      <c r="O23" s="43">
        <v>17489822000180</v>
      </c>
      <c r="P23" s="38" t="s">
        <v>326</v>
      </c>
      <c r="Q23" s="38" t="s">
        <v>327</v>
      </c>
      <c r="R23" s="38" t="s">
        <v>322</v>
      </c>
      <c r="V23" s="38" t="s">
        <v>1010</v>
      </c>
      <c r="W23" s="7"/>
      <c r="Y23" s="81" t="s">
        <v>1081</v>
      </c>
      <c r="Z23" s="81" t="s">
        <v>1082</v>
      </c>
      <c r="AA23" s="82"/>
    </row>
    <row r="24" spans="1:27" x14ac:dyDescent="0.3">
      <c r="A24" s="38">
        <v>1</v>
      </c>
      <c r="B24" s="38" t="s">
        <v>784</v>
      </c>
      <c r="C24" s="38" t="s">
        <v>746</v>
      </c>
      <c r="D24" s="38" t="s">
        <v>787</v>
      </c>
      <c r="E24" s="38" t="s">
        <v>788</v>
      </c>
      <c r="F24" s="70">
        <v>3.17</v>
      </c>
      <c r="G24" s="70">
        <v>5.82</v>
      </c>
      <c r="H24" s="70">
        <v>2.4300000000000002</v>
      </c>
      <c r="I24" s="70">
        <v>3</v>
      </c>
      <c r="J24" s="40">
        <v>11800</v>
      </c>
      <c r="K24" s="38" t="str">
        <f t="shared" si="0"/>
        <v>A:3,17 x C:5,82 x L:2,43-3,00 x P:11.800kg</v>
      </c>
      <c r="N24" s="38" t="str">
        <f t="shared" si="1"/>
        <v>006208105</v>
      </c>
      <c r="O24" s="43">
        <v>6208105001431</v>
      </c>
      <c r="P24" s="38" t="s">
        <v>328</v>
      </c>
      <c r="Q24" s="38" t="s">
        <v>329</v>
      </c>
      <c r="R24" s="38" t="s">
        <v>330</v>
      </c>
      <c r="V24" s="38" t="s">
        <v>1011</v>
      </c>
      <c r="W24" s="7"/>
    </row>
    <row r="25" spans="1:27" x14ac:dyDescent="0.3">
      <c r="A25" s="38">
        <v>1</v>
      </c>
      <c r="B25" s="38" t="s">
        <v>784</v>
      </c>
      <c r="C25" s="38" t="s">
        <v>746</v>
      </c>
      <c r="D25" s="38" t="s">
        <v>789</v>
      </c>
      <c r="E25" s="38" t="s">
        <v>790</v>
      </c>
      <c r="F25" s="70">
        <v>3.17</v>
      </c>
      <c r="G25" s="70">
        <v>5.82</v>
      </c>
      <c r="H25" s="70">
        <v>2.4300000000000002</v>
      </c>
      <c r="I25" s="70">
        <v>3</v>
      </c>
      <c r="J25" s="40">
        <v>12650</v>
      </c>
      <c r="K25" s="38" t="str">
        <f t="shared" si="0"/>
        <v>A:3,17 x C:5,82 x L:2,43-3,00 x P:12.650kg</v>
      </c>
      <c r="N25" s="38" t="str">
        <f t="shared" si="1"/>
        <v>006208105</v>
      </c>
      <c r="O25" s="43">
        <v>6208105000117</v>
      </c>
      <c r="P25" s="38" t="s">
        <v>331</v>
      </c>
      <c r="Q25" s="38" t="s">
        <v>329</v>
      </c>
      <c r="R25" s="38" t="s">
        <v>332</v>
      </c>
      <c r="V25" s="38" t="s">
        <v>1012</v>
      </c>
      <c r="W25" s="7"/>
    </row>
    <row r="26" spans="1:27" ht="14.4" customHeight="1" x14ac:dyDescent="0.3">
      <c r="A26" s="38">
        <v>1</v>
      </c>
      <c r="B26" s="38" t="s">
        <v>791</v>
      </c>
      <c r="C26" s="38" t="s">
        <v>746</v>
      </c>
      <c r="D26" s="38" t="s">
        <v>792</v>
      </c>
      <c r="E26" s="38" t="s">
        <v>793</v>
      </c>
      <c r="F26" s="70">
        <v>3.3</v>
      </c>
      <c r="G26" s="70">
        <v>6.04</v>
      </c>
      <c r="H26" s="70">
        <v>2.4500000000000002</v>
      </c>
      <c r="I26" s="70">
        <v>3.3</v>
      </c>
      <c r="J26" s="40">
        <v>13325</v>
      </c>
      <c r="K26" s="38" t="str">
        <f t="shared" si="0"/>
        <v>A:3,30 x C:6,04 x L:2,45-3,30 x P:13.325kg</v>
      </c>
      <c r="N26" s="38" t="str">
        <f t="shared" si="1"/>
        <v>006208105</v>
      </c>
      <c r="O26" s="43">
        <v>6208105001008</v>
      </c>
      <c r="P26" s="38" t="s">
        <v>333</v>
      </c>
      <c r="Q26" s="38" t="s">
        <v>329</v>
      </c>
      <c r="R26" s="38" t="s">
        <v>334</v>
      </c>
      <c r="V26" s="38" t="s">
        <v>1013</v>
      </c>
      <c r="W26" s="7"/>
      <c r="Y26" s="101" t="s">
        <v>1045</v>
      </c>
      <c r="Z26" s="101"/>
      <c r="AA26" s="101"/>
    </row>
    <row r="27" spans="1:27" x14ac:dyDescent="0.3">
      <c r="A27" s="38">
        <v>1</v>
      </c>
      <c r="B27" s="38" t="s">
        <v>791</v>
      </c>
      <c r="C27" s="38" t="s">
        <v>746</v>
      </c>
      <c r="D27" s="38" t="s">
        <v>794</v>
      </c>
      <c r="E27" s="38" t="s">
        <v>795</v>
      </c>
      <c r="F27" s="70">
        <v>3.3</v>
      </c>
      <c r="G27" s="70">
        <v>6.04</v>
      </c>
      <c r="H27" s="70">
        <v>2.4500000000000002</v>
      </c>
      <c r="I27" s="70">
        <v>3.3</v>
      </c>
      <c r="J27" s="40">
        <v>14700</v>
      </c>
      <c r="K27" s="38" t="str">
        <f t="shared" si="0"/>
        <v>A:3,30 x C:6,04 x L:2,45-3,30 x P:14.700kg</v>
      </c>
      <c r="N27" s="38" t="str">
        <f t="shared" si="1"/>
        <v>006208105</v>
      </c>
      <c r="O27" s="43">
        <v>6208105000206</v>
      </c>
      <c r="P27" s="38" t="s">
        <v>335</v>
      </c>
      <c r="Q27" s="38" t="s">
        <v>329</v>
      </c>
      <c r="R27" s="38" t="s">
        <v>336</v>
      </c>
      <c r="V27" s="38" t="s">
        <v>1014</v>
      </c>
      <c r="W27" s="7"/>
      <c r="Y27" s="91" t="s">
        <v>1025</v>
      </c>
      <c r="Z27" s="91" t="s">
        <v>1026</v>
      </c>
      <c r="AA27" s="91" t="s">
        <v>1027</v>
      </c>
    </row>
    <row r="28" spans="1:27" x14ac:dyDescent="0.3">
      <c r="A28" s="38">
        <v>1</v>
      </c>
      <c r="B28" s="38" t="s">
        <v>791</v>
      </c>
      <c r="C28" s="38" t="s">
        <v>746</v>
      </c>
      <c r="D28" s="38" t="s">
        <v>796</v>
      </c>
      <c r="E28" s="38" t="s">
        <v>797</v>
      </c>
      <c r="F28" s="70">
        <v>3.3</v>
      </c>
      <c r="G28" s="70">
        <v>6.04</v>
      </c>
      <c r="H28" s="70">
        <v>2.4500000000000002</v>
      </c>
      <c r="I28" s="70">
        <v>3.3</v>
      </c>
      <c r="J28" s="40">
        <v>16192</v>
      </c>
      <c r="K28" s="38" t="str">
        <f t="shared" si="0"/>
        <v>A:3,30 x C:6,04 x L:2,45-3,30 x P:16.192kg</v>
      </c>
      <c r="N28" s="38" t="str">
        <f t="shared" si="1"/>
        <v>006208105</v>
      </c>
      <c r="O28" s="43">
        <v>6208105000389</v>
      </c>
      <c r="P28" s="38" t="s">
        <v>337</v>
      </c>
      <c r="Q28" s="38" t="s">
        <v>329</v>
      </c>
      <c r="R28" s="38" t="s">
        <v>338</v>
      </c>
      <c r="V28" s="38" t="s">
        <v>1015</v>
      </c>
      <c r="W28" s="7"/>
      <c r="Y28" s="85" t="s">
        <v>200</v>
      </c>
      <c r="Z28" s="84" t="s">
        <v>706</v>
      </c>
      <c r="AA28" s="84" t="s">
        <v>1028</v>
      </c>
    </row>
    <row r="29" spans="1:27" x14ac:dyDescent="0.3">
      <c r="A29" s="38">
        <v>1</v>
      </c>
      <c r="B29" s="38" t="s">
        <v>791</v>
      </c>
      <c r="C29" s="38" t="s">
        <v>746</v>
      </c>
      <c r="D29" s="38" t="s">
        <v>798</v>
      </c>
      <c r="E29" s="38" t="s">
        <v>799</v>
      </c>
      <c r="F29" s="70">
        <v>3.3</v>
      </c>
      <c r="G29" s="70">
        <v>6.04</v>
      </c>
      <c r="H29" s="70">
        <v>2.4500000000000002</v>
      </c>
      <c r="I29" s="70">
        <v>3.3</v>
      </c>
      <c r="J29" s="40">
        <v>17600</v>
      </c>
      <c r="K29" s="38" t="str">
        <f t="shared" si="0"/>
        <v>A:3,30 x C:6,04 x L:2,45-3,30 x P:17.600kg</v>
      </c>
      <c r="N29" s="38" t="str">
        <f t="shared" si="1"/>
        <v>006208105</v>
      </c>
      <c r="O29" s="43">
        <v>6208105000540</v>
      </c>
      <c r="P29" s="38" t="s">
        <v>339</v>
      </c>
      <c r="Q29" s="38" t="s">
        <v>329</v>
      </c>
      <c r="R29" s="38" t="s">
        <v>340</v>
      </c>
      <c r="V29" s="38" t="s">
        <v>1016</v>
      </c>
      <c r="W29" s="7"/>
      <c r="Y29" s="85" t="s">
        <v>203</v>
      </c>
      <c r="Z29" s="84" t="s">
        <v>1029</v>
      </c>
      <c r="AA29" s="84" t="s">
        <v>1030</v>
      </c>
    </row>
    <row r="30" spans="1:27" x14ac:dyDescent="0.3">
      <c r="A30" s="38">
        <v>1</v>
      </c>
      <c r="B30" s="38" t="s">
        <v>791</v>
      </c>
      <c r="C30" s="38" t="s">
        <v>746</v>
      </c>
      <c r="D30" s="38" t="s">
        <v>800</v>
      </c>
      <c r="E30" s="38" t="s">
        <v>801</v>
      </c>
      <c r="F30" s="70">
        <v>3.3</v>
      </c>
      <c r="G30" s="70">
        <v>6.04</v>
      </c>
      <c r="H30" s="70">
        <v>2.4500000000000002</v>
      </c>
      <c r="I30" s="70">
        <v>3.3</v>
      </c>
      <c r="J30" s="40">
        <v>18000</v>
      </c>
      <c r="K30" s="38" t="str">
        <f t="shared" si="0"/>
        <v>A:3,30 x C:6,04 x L:2,45-3,30 x P:18.000kg</v>
      </c>
      <c r="N30" s="38" t="str">
        <f t="shared" si="1"/>
        <v>019082116</v>
      </c>
      <c r="O30" s="43">
        <v>19082116000145</v>
      </c>
      <c r="P30" s="38" t="s">
        <v>341</v>
      </c>
      <c r="Q30" s="38" t="s">
        <v>342</v>
      </c>
      <c r="R30" s="38" t="s">
        <v>343</v>
      </c>
      <c r="V30" s="38" t="s">
        <v>1018</v>
      </c>
      <c r="W30" s="7"/>
      <c r="Y30" s="85" t="s">
        <v>21</v>
      </c>
      <c r="Z30" s="84" t="s">
        <v>1031</v>
      </c>
      <c r="AA30" s="84" t="s">
        <v>1032</v>
      </c>
    </row>
    <row r="31" spans="1:27" x14ac:dyDescent="0.3">
      <c r="A31" s="38">
        <v>1</v>
      </c>
      <c r="B31" s="38" t="s">
        <v>791</v>
      </c>
      <c r="C31" s="38" t="s">
        <v>746</v>
      </c>
      <c r="D31" s="38" t="s">
        <v>802</v>
      </c>
      <c r="E31" s="38" t="s">
        <v>803</v>
      </c>
      <c r="F31" s="70">
        <v>3.3</v>
      </c>
      <c r="G31" s="70">
        <v>6.04</v>
      </c>
      <c r="H31" s="70">
        <v>2.4500000000000002</v>
      </c>
      <c r="I31" s="70">
        <v>3.3</v>
      </c>
      <c r="J31" s="40">
        <v>18000</v>
      </c>
      <c r="K31" s="38" t="str">
        <f t="shared" si="0"/>
        <v>A:3,30 x C:6,04 x L:2,45-3,30 x P:18.000kg</v>
      </c>
      <c r="N31" s="38" t="str">
        <f t="shared" si="1"/>
        <v>080645922</v>
      </c>
      <c r="O31" s="43">
        <v>80645922000276</v>
      </c>
      <c r="P31" s="38" t="s">
        <v>344</v>
      </c>
      <c r="Q31" s="38" t="s">
        <v>345</v>
      </c>
      <c r="R31" s="38" t="s">
        <v>305</v>
      </c>
      <c r="V31" s="38" t="s">
        <v>1020</v>
      </c>
      <c r="W31" s="7"/>
      <c r="Y31" s="85" t="s">
        <v>16</v>
      </c>
      <c r="Z31" s="84" t="s">
        <v>1033</v>
      </c>
      <c r="AA31" s="84" t="s">
        <v>1034</v>
      </c>
    </row>
    <row r="32" spans="1:27" x14ac:dyDescent="0.3">
      <c r="A32" s="38">
        <v>1</v>
      </c>
      <c r="B32" s="38" t="s">
        <v>791</v>
      </c>
      <c r="C32" s="38" t="s">
        <v>746</v>
      </c>
      <c r="D32" s="38" t="s">
        <v>804</v>
      </c>
      <c r="E32" s="38" t="s">
        <v>805</v>
      </c>
      <c r="F32" s="70">
        <v>3.3</v>
      </c>
      <c r="G32" s="70">
        <v>6.04</v>
      </c>
      <c r="H32" s="70">
        <v>2.4500000000000002</v>
      </c>
      <c r="I32" s="70">
        <v>3.3</v>
      </c>
      <c r="J32" s="40">
        <v>18000</v>
      </c>
      <c r="K32" s="38" t="str">
        <f t="shared" si="0"/>
        <v>A:3,30 x C:6,04 x L:2,45-3,30 x P:18.000kg</v>
      </c>
      <c r="N32" s="38" t="str">
        <f t="shared" si="1"/>
        <v>053102168</v>
      </c>
      <c r="O32" s="43">
        <v>53102168000174</v>
      </c>
      <c r="P32" s="38" t="s">
        <v>346</v>
      </c>
      <c r="Q32" s="38" t="s">
        <v>347</v>
      </c>
      <c r="R32" s="38" t="s">
        <v>348</v>
      </c>
      <c r="V32" s="38" t="s">
        <v>1024</v>
      </c>
      <c r="W32" s="7"/>
      <c r="Y32" s="85" t="s">
        <v>19</v>
      </c>
      <c r="Z32" s="84" t="s">
        <v>1035</v>
      </c>
      <c r="AA32" s="84" t="s">
        <v>1036</v>
      </c>
    </row>
    <row r="33" spans="1:27" x14ac:dyDescent="0.3">
      <c r="A33" s="38">
        <v>1</v>
      </c>
      <c r="B33" s="38" t="s">
        <v>806</v>
      </c>
      <c r="C33" s="38" t="s">
        <v>746</v>
      </c>
      <c r="D33" s="38" t="s">
        <v>807</v>
      </c>
      <c r="E33" s="38" t="s">
        <v>807</v>
      </c>
      <c r="F33" s="70">
        <v>3.98</v>
      </c>
      <c r="G33" s="70">
        <v>8.43</v>
      </c>
      <c r="H33" s="70">
        <v>3.05</v>
      </c>
      <c r="I33" s="70">
        <v>4.3</v>
      </c>
      <c r="J33" s="40">
        <v>20856</v>
      </c>
      <c r="K33" s="38" t="str">
        <f t="shared" si="0"/>
        <v>A:3,98 x C:8,43 x L:3,05-4,30 x P:20.856kg</v>
      </c>
      <c r="N33" s="38" t="str">
        <f t="shared" si="1"/>
        <v>056953013</v>
      </c>
      <c r="O33" s="43">
        <v>56953013000130</v>
      </c>
      <c r="P33" s="38" t="s">
        <v>300</v>
      </c>
      <c r="Q33" s="38" t="s">
        <v>301</v>
      </c>
      <c r="R33" s="38" t="s">
        <v>302</v>
      </c>
      <c r="V33" s="38" t="s">
        <v>1023</v>
      </c>
      <c r="W33" s="7"/>
      <c r="Y33" s="85" t="s">
        <v>1037</v>
      </c>
      <c r="Z33" s="84" t="s">
        <v>1038</v>
      </c>
      <c r="AA33" s="84" t="s">
        <v>1039</v>
      </c>
    </row>
    <row r="34" spans="1:27" x14ac:dyDescent="0.3">
      <c r="A34" s="38">
        <v>1</v>
      </c>
      <c r="B34" s="38" t="s">
        <v>806</v>
      </c>
      <c r="C34" s="38" t="s">
        <v>746</v>
      </c>
      <c r="D34" s="38" t="s">
        <v>808</v>
      </c>
      <c r="E34" s="38" t="s">
        <v>808</v>
      </c>
      <c r="F34" s="70">
        <v>3.98</v>
      </c>
      <c r="G34" s="70">
        <v>8.43</v>
      </c>
      <c r="H34" s="70">
        <v>3.05</v>
      </c>
      <c r="I34" s="70">
        <v>4.3</v>
      </c>
      <c r="J34" s="40">
        <v>20856</v>
      </c>
      <c r="K34" s="38" t="str">
        <f t="shared" si="0"/>
        <v>A:3,98 x C:8,43 x L:3,05-4,30 x P:20.856kg</v>
      </c>
      <c r="N34" s="38" t="str">
        <f t="shared" si="1"/>
        <v>020110520</v>
      </c>
      <c r="O34" s="43">
        <v>20110520000164</v>
      </c>
      <c r="P34" s="38" t="s">
        <v>349</v>
      </c>
      <c r="Q34" s="38" t="s">
        <v>350</v>
      </c>
      <c r="R34" s="38" t="s">
        <v>322</v>
      </c>
      <c r="V34" s="86" t="s">
        <v>1017</v>
      </c>
      <c r="W34" s="7"/>
      <c r="Y34" s="85" t="s">
        <v>1040</v>
      </c>
      <c r="Z34" s="84" t="s">
        <v>1041</v>
      </c>
      <c r="AA34" s="84" t="s">
        <v>1042</v>
      </c>
    </row>
    <row r="35" spans="1:27" x14ac:dyDescent="0.3">
      <c r="A35" s="38">
        <v>1</v>
      </c>
      <c r="B35" s="38" t="s">
        <v>806</v>
      </c>
      <c r="C35" s="38" t="s">
        <v>746</v>
      </c>
      <c r="D35" s="38" t="s">
        <v>809</v>
      </c>
      <c r="E35" s="38" t="s">
        <v>809</v>
      </c>
      <c r="F35" s="70">
        <v>3.98</v>
      </c>
      <c r="G35" s="70">
        <v>8.43</v>
      </c>
      <c r="H35" s="70">
        <v>3.05</v>
      </c>
      <c r="I35" s="70">
        <v>4.3</v>
      </c>
      <c r="J35" s="40">
        <v>20856</v>
      </c>
      <c r="K35" s="38" t="str">
        <f t="shared" si="0"/>
        <v>A:3,98 x C:8,43 x L:3,05-4,30 x P:20.856kg</v>
      </c>
      <c r="N35" s="38" t="str">
        <f t="shared" si="1"/>
        <v>050435638</v>
      </c>
      <c r="O35" s="43">
        <v>50435638000123</v>
      </c>
      <c r="P35" s="38" t="s">
        <v>351</v>
      </c>
      <c r="Q35" s="38" t="s">
        <v>283</v>
      </c>
      <c r="R35" s="38" t="s">
        <v>322</v>
      </c>
      <c r="V35" s="86" t="s">
        <v>1019</v>
      </c>
      <c r="W35" s="7"/>
      <c r="Y35" s="85" t="s">
        <v>207</v>
      </c>
      <c r="Z35" s="84" t="s">
        <v>1043</v>
      </c>
      <c r="AA35" s="84" t="s">
        <v>1044</v>
      </c>
    </row>
    <row r="36" spans="1:27" x14ac:dyDescent="0.3">
      <c r="A36" s="38">
        <v>1</v>
      </c>
      <c r="B36" s="38" t="s">
        <v>806</v>
      </c>
      <c r="C36" s="38" t="s">
        <v>746</v>
      </c>
      <c r="D36" s="38" t="s">
        <v>810</v>
      </c>
      <c r="E36" s="38" t="s">
        <v>810</v>
      </c>
      <c r="F36" s="70">
        <v>3.98</v>
      </c>
      <c r="G36" s="70">
        <v>8.43</v>
      </c>
      <c r="H36" s="70">
        <v>3.05</v>
      </c>
      <c r="I36" s="70">
        <v>4.3</v>
      </c>
      <c r="J36" s="40">
        <v>20856</v>
      </c>
      <c r="K36" s="38" t="str">
        <f t="shared" si="0"/>
        <v>A:3,98 x C:8,43 x L:3,05-4,30 x P:20.856kg</v>
      </c>
      <c r="N36" s="38" t="str">
        <f t="shared" si="1"/>
        <v>055246903</v>
      </c>
      <c r="O36" s="43">
        <v>55246903000149</v>
      </c>
      <c r="P36" s="38" t="s">
        <v>352</v>
      </c>
      <c r="Q36" s="38" t="s">
        <v>353</v>
      </c>
      <c r="R36" s="38" t="s">
        <v>354</v>
      </c>
      <c r="V36" s="86" t="s">
        <v>1021</v>
      </c>
      <c r="W36" s="7"/>
    </row>
    <row r="37" spans="1:27" x14ac:dyDescent="0.3">
      <c r="A37" s="38">
        <v>1</v>
      </c>
      <c r="B37" s="38" t="s">
        <v>806</v>
      </c>
      <c r="C37" s="38" t="s">
        <v>746</v>
      </c>
      <c r="D37" s="38" t="s">
        <v>811</v>
      </c>
      <c r="E37" s="38" t="s">
        <v>811</v>
      </c>
      <c r="F37" s="70">
        <v>3.98</v>
      </c>
      <c r="G37" s="70">
        <v>8.43</v>
      </c>
      <c r="H37" s="70">
        <v>3.05</v>
      </c>
      <c r="I37" s="70">
        <v>4.3</v>
      </c>
      <c r="J37" s="40">
        <v>21174</v>
      </c>
      <c r="K37" s="38" t="str">
        <f t="shared" si="0"/>
        <v>A:3,98 x C:8,43 x L:3,05-4,30 x P:21.174kg</v>
      </c>
      <c r="N37" s="38" t="str">
        <f t="shared" si="1"/>
        <v>007424946</v>
      </c>
      <c r="O37" s="43">
        <v>7424946000124</v>
      </c>
      <c r="P37" s="38" t="s">
        <v>355</v>
      </c>
      <c r="Q37" s="38" t="s">
        <v>264</v>
      </c>
      <c r="R37" s="38" t="s">
        <v>322</v>
      </c>
      <c r="V37" s="86" t="s">
        <v>1022</v>
      </c>
      <c r="W37" s="7"/>
    </row>
    <row r="38" spans="1:27" x14ac:dyDescent="0.3">
      <c r="A38" s="38">
        <v>1</v>
      </c>
      <c r="B38" s="38" t="s">
        <v>806</v>
      </c>
      <c r="C38" s="38" t="s">
        <v>746</v>
      </c>
      <c r="D38" s="38" t="s">
        <v>812</v>
      </c>
      <c r="E38" s="38" t="s">
        <v>812</v>
      </c>
      <c r="F38" s="70">
        <v>3.71</v>
      </c>
      <c r="G38" s="70">
        <v>8.5500000000000007</v>
      </c>
      <c r="H38" s="70">
        <v>3.05</v>
      </c>
      <c r="I38" s="70">
        <v>3.96</v>
      </c>
      <c r="J38" s="40">
        <v>25546</v>
      </c>
      <c r="K38" s="38" t="str">
        <f t="shared" si="0"/>
        <v>A:3,71 x C:8,55 x L:3,05-3,96 x P:25.546kg</v>
      </c>
      <c r="N38" s="38" t="str">
        <f t="shared" si="1"/>
        <v>010273940</v>
      </c>
      <c r="O38" s="43">
        <v>10273940000108</v>
      </c>
      <c r="P38" s="38" t="s">
        <v>356</v>
      </c>
      <c r="Q38" s="38" t="s">
        <v>264</v>
      </c>
      <c r="R38" s="38" t="s">
        <v>322</v>
      </c>
      <c r="V38" s="7"/>
      <c r="W38" s="7"/>
    </row>
    <row r="39" spans="1:27" x14ac:dyDescent="0.3">
      <c r="A39" s="38">
        <v>1</v>
      </c>
      <c r="B39" s="38" t="s">
        <v>806</v>
      </c>
      <c r="C39" s="38" t="s">
        <v>746</v>
      </c>
      <c r="D39" s="38" t="s">
        <v>813</v>
      </c>
      <c r="E39" s="38" t="s">
        <v>813</v>
      </c>
      <c r="F39" s="70">
        <v>3.71</v>
      </c>
      <c r="G39" s="70">
        <v>8.7100000000000009</v>
      </c>
      <c r="H39" s="70">
        <v>3.05</v>
      </c>
      <c r="I39" s="70">
        <v>3.96</v>
      </c>
      <c r="J39" s="40">
        <v>25546</v>
      </c>
      <c r="K39" s="38" t="str">
        <f t="shared" si="0"/>
        <v>A:3,71 x C:8,71 x L:3,05-3,96 x P:25.546kg</v>
      </c>
      <c r="N39" s="38" t="str">
        <f t="shared" si="1"/>
        <v>046304055</v>
      </c>
      <c r="O39" s="43">
        <v>46304055000196</v>
      </c>
      <c r="P39" s="38" t="s">
        <v>357</v>
      </c>
      <c r="Q39" s="38" t="s">
        <v>358</v>
      </c>
      <c r="R39" s="38" t="s">
        <v>359</v>
      </c>
      <c r="V39" s="7"/>
      <c r="W39" s="7"/>
    </row>
    <row r="40" spans="1:27" x14ac:dyDescent="0.3">
      <c r="A40" s="38">
        <v>1</v>
      </c>
      <c r="B40" s="38" t="s">
        <v>806</v>
      </c>
      <c r="C40" s="38" t="s">
        <v>746</v>
      </c>
      <c r="D40" s="38" t="s">
        <v>814</v>
      </c>
      <c r="E40" s="38" t="s">
        <v>814</v>
      </c>
      <c r="F40" s="70">
        <v>3.71</v>
      </c>
      <c r="G40" s="70">
        <v>8.5500000000000007</v>
      </c>
      <c r="H40" s="70">
        <v>3.05</v>
      </c>
      <c r="I40" s="70">
        <v>3.96</v>
      </c>
      <c r="J40" s="40">
        <v>25546</v>
      </c>
      <c r="K40" s="38" t="str">
        <f t="shared" si="0"/>
        <v>A:3,71 x C:8,55 x L:3,05-3,96 x P:25.546kg</v>
      </c>
      <c r="N40" s="38" t="str">
        <f t="shared" si="1"/>
        <v>061234985</v>
      </c>
      <c r="O40" s="43">
        <v>61234985014164</v>
      </c>
      <c r="P40" s="38" t="s">
        <v>360</v>
      </c>
      <c r="Q40" s="38" t="s">
        <v>361</v>
      </c>
      <c r="R40" s="38" t="s">
        <v>362</v>
      </c>
      <c r="V40" s="7"/>
      <c r="W40" s="7"/>
    </row>
    <row r="41" spans="1:27" x14ac:dyDescent="0.3">
      <c r="A41" s="38">
        <v>1</v>
      </c>
      <c r="B41" s="38" t="s">
        <v>806</v>
      </c>
      <c r="C41" s="38" t="s">
        <v>746</v>
      </c>
      <c r="D41" s="38" t="s">
        <v>815</v>
      </c>
      <c r="E41" s="38" t="s">
        <v>815</v>
      </c>
      <c r="F41" s="70">
        <v>3.78</v>
      </c>
      <c r="G41" s="70">
        <v>8.5500000000000007</v>
      </c>
      <c r="H41" s="70">
        <v>3.05</v>
      </c>
      <c r="I41" s="70">
        <v>3.96</v>
      </c>
      <c r="J41" s="40">
        <v>25546</v>
      </c>
      <c r="K41" s="38" t="str">
        <f t="shared" si="0"/>
        <v>A:3,78 x C:8,55 x L:3,05-3,96 x P:25.546kg</v>
      </c>
      <c r="N41" s="38" t="str">
        <f t="shared" si="1"/>
        <v>007516914</v>
      </c>
      <c r="O41" s="43">
        <v>7516914000159</v>
      </c>
      <c r="P41" s="38" t="s">
        <v>363</v>
      </c>
      <c r="Q41" s="38" t="s">
        <v>364</v>
      </c>
      <c r="R41" s="38"/>
      <c r="V41" s="7"/>
      <c r="W41" s="7"/>
    </row>
    <row r="42" spans="1:27" x14ac:dyDescent="0.3">
      <c r="A42" s="38">
        <v>2</v>
      </c>
      <c r="B42" s="38" t="s">
        <v>816</v>
      </c>
      <c r="C42" s="38" t="s">
        <v>817</v>
      </c>
      <c r="D42" s="38" t="s">
        <v>818</v>
      </c>
      <c r="E42" s="38" t="s">
        <v>818</v>
      </c>
      <c r="F42" s="70">
        <v>4.0999999999999996</v>
      </c>
      <c r="G42" s="70">
        <v>7.7</v>
      </c>
      <c r="H42" s="70">
        <v>3.7</v>
      </c>
      <c r="I42" s="70">
        <v>4.0999999999999996</v>
      </c>
      <c r="J42" s="40">
        <v>10600</v>
      </c>
      <c r="K42" s="38" t="str">
        <f t="shared" si="0"/>
        <v>A:4,10 x C:7,70 x L:3,70-4,10 x P:10.600kg</v>
      </c>
      <c r="N42" s="38" t="str">
        <f t="shared" si="1"/>
        <v>013809515</v>
      </c>
      <c r="O42" s="43">
        <v>13809515000189</v>
      </c>
      <c r="P42" s="38" t="s">
        <v>365</v>
      </c>
      <c r="Q42" s="38" t="s">
        <v>366</v>
      </c>
      <c r="R42" s="38" t="s">
        <v>343</v>
      </c>
      <c r="V42" s="7"/>
      <c r="W42" s="7"/>
    </row>
    <row r="43" spans="1:27" x14ac:dyDescent="0.3">
      <c r="A43" s="38">
        <v>2</v>
      </c>
      <c r="B43" s="38" t="s">
        <v>816</v>
      </c>
      <c r="C43" s="38" t="s">
        <v>817</v>
      </c>
      <c r="D43" s="38" t="s">
        <v>819</v>
      </c>
      <c r="E43" s="38" t="s">
        <v>819</v>
      </c>
      <c r="F43" s="70">
        <v>4.0999999999999996</v>
      </c>
      <c r="G43" s="70">
        <v>7.7</v>
      </c>
      <c r="H43" s="70">
        <v>3.4</v>
      </c>
      <c r="I43" s="70">
        <v>4.0999999999999996</v>
      </c>
      <c r="J43" s="40">
        <v>11800</v>
      </c>
      <c r="K43" s="38" t="str">
        <f t="shared" si="0"/>
        <v>A:4,10 x C:7,70 x L:3,40-4,10 x P:11.800kg</v>
      </c>
      <c r="N43" s="38" t="str">
        <f t="shared" si="1"/>
        <v>006208105</v>
      </c>
      <c r="O43" s="43">
        <v>6208105001199</v>
      </c>
      <c r="P43" s="38" t="s">
        <v>333</v>
      </c>
      <c r="Q43" s="38" t="s">
        <v>329</v>
      </c>
      <c r="R43" s="38" t="s">
        <v>302</v>
      </c>
      <c r="V43" s="7"/>
      <c r="W43" s="7"/>
    </row>
    <row r="44" spans="1:27" x14ac:dyDescent="0.3">
      <c r="A44" s="38">
        <v>2</v>
      </c>
      <c r="B44" s="38" t="s">
        <v>816</v>
      </c>
      <c r="C44" s="38" t="s">
        <v>817</v>
      </c>
      <c r="D44" s="38" t="s">
        <v>820</v>
      </c>
      <c r="E44" s="38" t="s">
        <v>820</v>
      </c>
      <c r="F44" s="70">
        <v>4.0999999999999996</v>
      </c>
      <c r="G44" s="70">
        <v>6.68</v>
      </c>
      <c r="H44" s="70">
        <v>3.2</v>
      </c>
      <c r="I44" s="70">
        <v>3.3</v>
      </c>
      <c r="J44" s="40">
        <v>14000</v>
      </c>
      <c r="K44" s="38" t="str">
        <f t="shared" si="0"/>
        <v>A:4,10 x C:6,68 x L:3,20-3,30 x P:14.000kg</v>
      </c>
      <c r="N44" s="38" t="str">
        <f t="shared" si="1"/>
        <v>019442669</v>
      </c>
      <c r="O44" s="43">
        <v>19442669000161</v>
      </c>
      <c r="P44" s="38" t="s">
        <v>367</v>
      </c>
      <c r="Q44" s="38" t="s">
        <v>368</v>
      </c>
      <c r="R44" s="38" t="s">
        <v>322</v>
      </c>
      <c r="V44" s="7"/>
      <c r="W44" s="7"/>
    </row>
    <row r="45" spans="1:27" x14ac:dyDescent="0.3">
      <c r="A45" s="38">
        <v>2</v>
      </c>
      <c r="B45" s="38" t="s">
        <v>816</v>
      </c>
      <c r="C45" s="38" t="s">
        <v>817</v>
      </c>
      <c r="D45" s="38" t="s">
        <v>821</v>
      </c>
      <c r="E45" s="38" t="s">
        <v>821</v>
      </c>
      <c r="F45" s="70">
        <v>3.8</v>
      </c>
      <c r="G45" s="70">
        <v>10</v>
      </c>
      <c r="H45" s="70">
        <v>3.7</v>
      </c>
      <c r="I45" s="70">
        <v>4.2</v>
      </c>
      <c r="J45" s="40">
        <v>15938</v>
      </c>
      <c r="K45" s="38" t="str">
        <f t="shared" si="0"/>
        <v>A:3,80 x C:10,00 x L:3,70-4,20 x P:15.938kg</v>
      </c>
      <c r="N45" s="38" t="str">
        <f t="shared" si="1"/>
        <v>085004729</v>
      </c>
      <c r="O45" s="43">
        <v>85004729000199</v>
      </c>
      <c r="P45" s="38" t="s">
        <v>369</v>
      </c>
      <c r="Q45" s="38" t="s">
        <v>370</v>
      </c>
      <c r="R45" s="38" t="s">
        <v>322</v>
      </c>
      <c r="V45" s="7"/>
      <c r="W45" s="7"/>
    </row>
    <row r="46" spans="1:27" x14ac:dyDescent="0.3">
      <c r="A46" s="38">
        <v>2</v>
      </c>
      <c r="B46" s="38" t="s">
        <v>816</v>
      </c>
      <c r="C46" s="38" t="s">
        <v>817</v>
      </c>
      <c r="D46" s="38" t="s">
        <v>822</v>
      </c>
      <c r="E46" s="38" t="s">
        <v>822</v>
      </c>
      <c r="F46" s="70">
        <v>3.98</v>
      </c>
      <c r="G46" s="70">
        <v>10.5</v>
      </c>
      <c r="H46" s="70">
        <v>3.4</v>
      </c>
      <c r="I46" s="70">
        <v>5.2</v>
      </c>
      <c r="J46" s="40">
        <v>18599</v>
      </c>
      <c r="K46" s="38" t="str">
        <f t="shared" si="0"/>
        <v>A:3,98 x C:10,50 x L:3,40-5,20 x P:18.599kg</v>
      </c>
      <c r="N46" s="38" t="str">
        <f t="shared" si="1"/>
        <v>000428307</v>
      </c>
      <c r="O46" s="43">
        <v>428307002301</v>
      </c>
      <c r="P46" s="38" t="s">
        <v>316</v>
      </c>
      <c r="Q46" s="38" t="s">
        <v>298</v>
      </c>
      <c r="R46" s="38" t="s">
        <v>302</v>
      </c>
      <c r="V46" s="7"/>
      <c r="W46" s="7"/>
    </row>
    <row r="47" spans="1:27" x14ac:dyDescent="0.3">
      <c r="A47" s="38">
        <v>2</v>
      </c>
      <c r="B47" s="38" t="s">
        <v>816</v>
      </c>
      <c r="C47" s="38" t="s">
        <v>817</v>
      </c>
      <c r="D47" s="38" t="s">
        <v>823</v>
      </c>
      <c r="E47" s="38" t="s">
        <v>823</v>
      </c>
      <c r="F47" s="70">
        <v>3.98</v>
      </c>
      <c r="G47" s="70">
        <v>10.5</v>
      </c>
      <c r="H47" s="70">
        <v>3.4</v>
      </c>
      <c r="I47" s="70">
        <v>5.2</v>
      </c>
      <c r="J47" s="40">
        <v>19226</v>
      </c>
      <c r="K47" s="38" t="str">
        <f t="shared" si="0"/>
        <v>A:3,98 x C:10,50 x L:3,40-5,20 x P:19.226kg</v>
      </c>
      <c r="N47" s="38" t="str">
        <f t="shared" si="1"/>
        <v>059354979</v>
      </c>
      <c r="O47" s="43">
        <v>59354979000149</v>
      </c>
      <c r="P47" s="38" t="s">
        <v>371</v>
      </c>
      <c r="Q47" s="38" t="s">
        <v>372</v>
      </c>
      <c r="R47" s="38" t="s">
        <v>322</v>
      </c>
      <c r="V47" s="7"/>
      <c r="W47" s="7"/>
    </row>
    <row r="48" spans="1:27" x14ac:dyDescent="0.3">
      <c r="A48" s="38">
        <v>2</v>
      </c>
      <c r="B48" s="38" t="s">
        <v>816</v>
      </c>
      <c r="C48" s="38" t="s">
        <v>817</v>
      </c>
      <c r="D48" s="38" t="s">
        <v>824</v>
      </c>
      <c r="E48" s="38" t="s">
        <v>824</v>
      </c>
      <c r="F48" s="70">
        <v>3.98</v>
      </c>
      <c r="G48" s="70">
        <v>12.1</v>
      </c>
      <c r="H48" s="70">
        <v>3.5</v>
      </c>
      <c r="I48" s="70">
        <v>5.43</v>
      </c>
      <c r="J48" s="40">
        <v>21921</v>
      </c>
      <c r="K48" s="38" t="str">
        <f t="shared" si="0"/>
        <v>A:3,98 x C:12,10 x L:3,50-5,43 x P:21.921kg</v>
      </c>
      <c r="N48" s="38" t="str">
        <f t="shared" si="1"/>
        <v>080227796</v>
      </c>
      <c r="O48" s="43">
        <v>80227796006785</v>
      </c>
      <c r="P48" s="38" t="s">
        <v>373</v>
      </c>
      <c r="Q48" s="38" t="s">
        <v>255</v>
      </c>
      <c r="R48" s="38" t="s">
        <v>374</v>
      </c>
      <c r="V48" s="7"/>
      <c r="W48" s="7"/>
    </row>
    <row r="49" spans="1:18" x14ac:dyDescent="0.3">
      <c r="A49" s="38">
        <v>2</v>
      </c>
      <c r="B49" s="38" t="s">
        <v>816</v>
      </c>
      <c r="C49" s="38" t="s">
        <v>817</v>
      </c>
      <c r="D49" s="38" t="s">
        <v>825</v>
      </c>
      <c r="E49" s="38" t="s">
        <v>825</v>
      </c>
      <c r="F49" s="70">
        <v>3.98</v>
      </c>
      <c r="G49" s="70">
        <v>12.1</v>
      </c>
      <c r="H49" s="70">
        <v>3.5</v>
      </c>
      <c r="I49" s="70">
        <v>5.43</v>
      </c>
      <c r="J49" s="40">
        <v>22185</v>
      </c>
      <c r="K49" s="38" t="str">
        <f t="shared" si="0"/>
        <v>A:3,98 x C:12,10 x L:3,50-5,43 x P:22.185kg</v>
      </c>
      <c r="N49" s="38" t="str">
        <f t="shared" si="1"/>
        <v>040952314</v>
      </c>
      <c r="O49" s="43">
        <v>40952314000109</v>
      </c>
      <c r="P49" s="38" t="s">
        <v>375</v>
      </c>
      <c r="Q49" s="38" t="s">
        <v>376</v>
      </c>
      <c r="R49" s="38" t="s">
        <v>377</v>
      </c>
    </row>
    <row r="50" spans="1:18" x14ac:dyDescent="0.3">
      <c r="A50" s="38">
        <v>2</v>
      </c>
      <c r="B50" s="38" t="s">
        <v>816</v>
      </c>
      <c r="C50" s="38" t="s">
        <v>817</v>
      </c>
      <c r="D50" s="38" t="s">
        <v>826</v>
      </c>
      <c r="E50" s="38" t="s">
        <v>826</v>
      </c>
      <c r="F50" s="70">
        <v>4</v>
      </c>
      <c r="G50" s="70">
        <v>10.6</v>
      </c>
      <c r="H50" s="70">
        <v>3.5</v>
      </c>
      <c r="I50" s="70">
        <v>5.2</v>
      </c>
      <c r="J50" s="40">
        <v>18599</v>
      </c>
      <c r="K50" s="38" t="str">
        <f t="shared" si="0"/>
        <v>A:4,00 x C:10,60 x L:3,50-5,20 x P:18.599kg</v>
      </c>
      <c r="N50" s="38" t="str">
        <f t="shared" si="1"/>
        <v>044753925</v>
      </c>
      <c r="O50" s="43">
        <v>44753925000189</v>
      </c>
      <c r="P50" s="38" t="s">
        <v>378</v>
      </c>
      <c r="Q50" s="38" t="s">
        <v>379</v>
      </c>
      <c r="R50" s="38" t="s">
        <v>380</v>
      </c>
    </row>
    <row r="51" spans="1:18" x14ac:dyDescent="0.3">
      <c r="A51" s="38">
        <v>2</v>
      </c>
      <c r="B51" s="38" t="s">
        <v>816</v>
      </c>
      <c r="C51" s="38" t="s">
        <v>817</v>
      </c>
      <c r="D51" s="38" t="s">
        <v>827</v>
      </c>
      <c r="E51" s="38" t="s">
        <v>827</v>
      </c>
      <c r="F51" s="70">
        <v>4</v>
      </c>
      <c r="G51" s="70">
        <v>10.5</v>
      </c>
      <c r="H51" s="70">
        <v>3.5</v>
      </c>
      <c r="I51" s="70">
        <v>5.2</v>
      </c>
      <c r="J51" s="40">
        <v>19226</v>
      </c>
      <c r="K51" s="38" t="str">
        <f t="shared" si="0"/>
        <v>A:4,00 x C:10,50 x L:3,50-5,20 x P:19.226kg</v>
      </c>
      <c r="N51" s="38" t="str">
        <f t="shared" si="1"/>
        <v>027525938</v>
      </c>
      <c r="O51" s="43">
        <v>27525938000181</v>
      </c>
      <c r="P51" s="38" t="s">
        <v>381</v>
      </c>
      <c r="Q51" s="38" t="s">
        <v>196</v>
      </c>
      <c r="R51" s="38" t="s">
        <v>322</v>
      </c>
    </row>
    <row r="52" spans="1:18" x14ac:dyDescent="0.3">
      <c r="A52" s="38">
        <v>2</v>
      </c>
      <c r="B52" s="38" t="s">
        <v>816</v>
      </c>
      <c r="C52" s="38" t="s">
        <v>817</v>
      </c>
      <c r="D52" s="38" t="s">
        <v>828</v>
      </c>
      <c r="E52" s="38" t="s">
        <v>828</v>
      </c>
      <c r="F52" s="70">
        <v>4</v>
      </c>
      <c r="G52" s="70">
        <v>12.1</v>
      </c>
      <c r="H52" s="70">
        <v>3.5</v>
      </c>
      <c r="I52" s="70">
        <v>5.43</v>
      </c>
      <c r="J52" s="40">
        <v>21921</v>
      </c>
      <c r="K52" s="38" t="str">
        <f t="shared" si="0"/>
        <v>A:4,00 x C:12,10 x L:3,50-5,43 x P:21.921kg</v>
      </c>
      <c r="N52" s="38" t="str">
        <f t="shared" si="1"/>
        <v>078706751</v>
      </c>
      <c r="O52" s="43">
        <v>78706751000700</v>
      </c>
      <c r="P52" s="38" t="s">
        <v>382</v>
      </c>
      <c r="Q52" s="38" t="s">
        <v>383</v>
      </c>
      <c r="R52" s="38" t="s">
        <v>384</v>
      </c>
    </row>
    <row r="53" spans="1:18" x14ac:dyDescent="0.3">
      <c r="A53" s="38">
        <v>2</v>
      </c>
      <c r="B53" s="38" t="s">
        <v>816</v>
      </c>
      <c r="C53" s="38" t="s">
        <v>817</v>
      </c>
      <c r="D53" s="38" t="s">
        <v>829</v>
      </c>
      <c r="E53" s="38" t="s">
        <v>829</v>
      </c>
      <c r="F53" s="70">
        <v>4</v>
      </c>
      <c r="G53" s="70">
        <v>12.1</v>
      </c>
      <c r="H53" s="70">
        <v>3.5</v>
      </c>
      <c r="I53" s="70">
        <v>5.43</v>
      </c>
      <c r="J53" s="40">
        <v>22185</v>
      </c>
      <c r="K53" s="38" t="str">
        <f t="shared" si="0"/>
        <v>A:4,00 x C:12,10 x L:3,50-5,43 x P:22.185kg</v>
      </c>
      <c r="N53" s="38" t="str">
        <f t="shared" si="1"/>
        <v>078706751</v>
      </c>
      <c r="O53" s="43">
        <v>78706751001430</v>
      </c>
      <c r="P53" s="38" t="s">
        <v>382</v>
      </c>
      <c r="Q53" s="38" t="s">
        <v>383</v>
      </c>
      <c r="R53" s="38" t="s">
        <v>322</v>
      </c>
    </row>
    <row r="54" spans="1:18" x14ac:dyDescent="0.3">
      <c r="A54" s="38">
        <v>3</v>
      </c>
      <c r="B54" s="38" t="s">
        <v>830</v>
      </c>
      <c r="C54" s="38" t="s">
        <v>831</v>
      </c>
      <c r="D54" s="38" t="s">
        <v>832</v>
      </c>
      <c r="E54" s="38" t="s">
        <v>833</v>
      </c>
      <c r="F54" s="70">
        <v>1.5</v>
      </c>
      <c r="G54" s="70">
        <v>5</v>
      </c>
      <c r="H54" s="70">
        <v>1.9</v>
      </c>
      <c r="I54" s="70">
        <v>1.9</v>
      </c>
      <c r="J54" s="40">
        <v>2000</v>
      </c>
      <c r="K54" s="38" t="str">
        <f t="shared" si="0"/>
        <v>A:1,50 x C:5,00 x L:1,90-1,90 x P:2.000kg</v>
      </c>
      <c r="N54" s="38" t="str">
        <f t="shared" si="1"/>
        <v>032603119</v>
      </c>
      <c r="O54" s="43">
        <v>32603119000145</v>
      </c>
      <c r="P54" s="38" t="s">
        <v>385</v>
      </c>
      <c r="Q54" s="38" t="s">
        <v>386</v>
      </c>
      <c r="R54" s="38" t="s">
        <v>387</v>
      </c>
    </row>
    <row r="55" spans="1:18" x14ac:dyDescent="0.3">
      <c r="A55" s="38">
        <v>3</v>
      </c>
      <c r="B55" s="38" t="s">
        <v>830</v>
      </c>
      <c r="C55" s="38" t="s">
        <v>831</v>
      </c>
      <c r="D55" s="38" t="s">
        <v>834</v>
      </c>
      <c r="E55" s="38" t="s">
        <v>835</v>
      </c>
      <c r="F55" s="70">
        <v>1.5</v>
      </c>
      <c r="G55" s="70">
        <v>5.5</v>
      </c>
      <c r="H55" s="70">
        <v>1.9</v>
      </c>
      <c r="I55" s="70">
        <v>1.9</v>
      </c>
      <c r="J55" s="40">
        <v>2200</v>
      </c>
      <c r="K55" s="38" t="str">
        <f t="shared" si="0"/>
        <v>A:1,50 x C:5,50 x L:1,90-1,90 x P:2.200kg</v>
      </c>
      <c r="N55" s="38" t="str">
        <f t="shared" si="1"/>
        <v>029730518</v>
      </c>
      <c r="O55" s="43">
        <v>29730518000162</v>
      </c>
      <c r="P55" s="38" t="s">
        <v>388</v>
      </c>
      <c r="Q55" s="38" t="s">
        <v>389</v>
      </c>
      <c r="R55" s="38" t="s">
        <v>322</v>
      </c>
    </row>
    <row r="56" spans="1:18" x14ac:dyDescent="0.3">
      <c r="A56" s="38">
        <v>3</v>
      </c>
      <c r="B56" s="38" t="s">
        <v>830</v>
      </c>
      <c r="C56" s="38" t="s">
        <v>831</v>
      </c>
      <c r="D56" s="38" t="s">
        <v>836</v>
      </c>
      <c r="E56" s="38" t="s">
        <v>837</v>
      </c>
      <c r="F56" s="70">
        <v>1.5</v>
      </c>
      <c r="G56" s="70">
        <v>6</v>
      </c>
      <c r="H56" s="70">
        <v>1.9</v>
      </c>
      <c r="I56" s="70">
        <v>1.9</v>
      </c>
      <c r="J56" s="40">
        <v>2400</v>
      </c>
      <c r="K56" s="38" t="str">
        <f t="shared" si="0"/>
        <v>A:1,50 x C:6,00 x L:1,90-1,90 x P:2.400kg</v>
      </c>
      <c r="N56" s="38" t="str">
        <f t="shared" si="1"/>
        <v>032083509</v>
      </c>
      <c r="O56" s="43">
        <v>32083509000131</v>
      </c>
      <c r="P56" s="38" t="s">
        <v>390</v>
      </c>
      <c r="Q56" s="38" t="s">
        <v>391</v>
      </c>
      <c r="R56" s="38" t="s">
        <v>392</v>
      </c>
    </row>
    <row r="57" spans="1:18" x14ac:dyDescent="0.3">
      <c r="A57" s="38">
        <v>3</v>
      </c>
      <c r="B57" s="38" t="s">
        <v>830</v>
      </c>
      <c r="C57" s="38" t="s">
        <v>831</v>
      </c>
      <c r="D57" s="38" t="s">
        <v>838</v>
      </c>
      <c r="E57" s="38" t="s">
        <v>839</v>
      </c>
      <c r="F57" s="70">
        <v>1.5</v>
      </c>
      <c r="G57" s="70">
        <v>6.5</v>
      </c>
      <c r="H57" s="70">
        <v>1.9</v>
      </c>
      <c r="I57" s="70">
        <v>1.9</v>
      </c>
      <c r="J57" s="40">
        <v>2600</v>
      </c>
      <c r="K57" s="38" t="str">
        <f t="shared" si="0"/>
        <v>A:1,50 x C:6,50 x L:1,90-1,90 x P:2.600kg</v>
      </c>
      <c r="N57" s="38" t="str">
        <f t="shared" si="1"/>
        <v>008880208</v>
      </c>
      <c r="O57" s="43">
        <v>8880208000154</v>
      </c>
      <c r="P57" s="38" t="s">
        <v>393</v>
      </c>
      <c r="Q57" s="38" t="s">
        <v>394</v>
      </c>
      <c r="R57" s="38" t="s">
        <v>395</v>
      </c>
    </row>
    <row r="58" spans="1:18" x14ac:dyDescent="0.3">
      <c r="A58" s="38">
        <v>3</v>
      </c>
      <c r="B58" s="38" t="s">
        <v>830</v>
      </c>
      <c r="C58" s="38" t="s">
        <v>831</v>
      </c>
      <c r="D58" s="38" t="s">
        <v>840</v>
      </c>
      <c r="E58" s="38" t="s">
        <v>841</v>
      </c>
      <c r="F58" s="70">
        <v>1.5</v>
      </c>
      <c r="G58" s="70">
        <v>7</v>
      </c>
      <c r="H58" s="70">
        <v>1.9</v>
      </c>
      <c r="I58" s="70">
        <v>1.9</v>
      </c>
      <c r="J58" s="40">
        <v>2800</v>
      </c>
      <c r="K58" s="38" t="str">
        <f t="shared" si="0"/>
        <v>A:1,50 x C:7,00 x L:1,90-1,90 x P:2.800kg</v>
      </c>
      <c r="N58" s="38" t="str">
        <f t="shared" si="1"/>
        <v>028198228</v>
      </c>
      <c r="O58" s="43">
        <v>28198228000157</v>
      </c>
      <c r="P58" s="38" t="s">
        <v>396</v>
      </c>
      <c r="Q58" s="38" t="s">
        <v>397</v>
      </c>
      <c r="R58" s="38" t="s">
        <v>395</v>
      </c>
    </row>
    <row r="59" spans="1:18" x14ac:dyDescent="0.3">
      <c r="A59" s="38">
        <v>3</v>
      </c>
      <c r="B59" s="38" t="s">
        <v>830</v>
      </c>
      <c r="C59" s="38" t="s">
        <v>831</v>
      </c>
      <c r="D59" s="38" t="s">
        <v>842</v>
      </c>
      <c r="E59" s="38" t="s">
        <v>843</v>
      </c>
      <c r="F59" s="70">
        <v>1.5</v>
      </c>
      <c r="G59" s="70">
        <v>7.5</v>
      </c>
      <c r="H59" s="70">
        <v>1.9</v>
      </c>
      <c r="I59" s="70">
        <v>1.9</v>
      </c>
      <c r="J59" s="40">
        <v>3000</v>
      </c>
      <c r="K59" s="38" t="str">
        <f t="shared" si="0"/>
        <v>A:1,50 x C:7,50 x L:1,90-1,90 x P:3.000kg</v>
      </c>
      <c r="N59" s="38" t="str">
        <f t="shared" si="1"/>
        <v>020165766</v>
      </c>
      <c r="O59" s="43">
        <v>20165766000133</v>
      </c>
      <c r="P59" s="38" t="s">
        <v>398</v>
      </c>
      <c r="Q59" s="38" t="s">
        <v>399</v>
      </c>
      <c r="R59" s="38" t="s">
        <v>322</v>
      </c>
    </row>
    <row r="60" spans="1:18" x14ac:dyDescent="0.3">
      <c r="A60" s="38">
        <v>3</v>
      </c>
      <c r="B60" s="38" t="s">
        <v>830</v>
      </c>
      <c r="C60" s="38" t="s">
        <v>831</v>
      </c>
      <c r="D60" s="38" t="s">
        <v>844</v>
      </c>
      <c r="E60" s="38" t="s">
        <v>845</v>
      </c>
      <c r="F60" s="70">
        <v>1.5</v>
      </c>
      <c r="G60" s="70">
        <v>8</v>
      </c>
      <c r="H60" s="70">
        <v>1.9</v>
      </c>
      <c r="I60" s="70">
        <v>1.9</v>
      </c>
      <c r="J60" s="40">
        <v>3200</v>
      </c>
      <c r="K60" s="38" t="str">
        <f t="shared" si="0"/>
        <v>A:1,50 x C:8,00 x L:1,90-1,90 x P:3.200kg</v>
      </c>
      <c r="N60" s="38" t="str">
        <f t="shared" si="1"/>
        <v>080227796</v>
      </c>
      <c r="O60" s="43">
        <v>80227796005894</v>
      </c>
      <c r="P60" s="38" t="s">
        <v>400</v>
      </c>
      <c r="Q60" s="38" t="s">
        <v>255</v>
      </c>
      <c r="R60" s="38" t="s">
        <v>302</v>
      </c>
    </row>
    <row r="61" spans="1:18" x14ac:dyDescent="0.3">
      <c r="A61" s="38">
        <v>3</v>
      </c>
      <c r="B61" s="38" t="s">
        <v>830</v>
      </c>
      <c r="C61" s="38" t="s">
        <v>831</v>
      </c>
      <c r="D61" s="38" t="s">
        <v>846</v>
      </c>
      <c r="E61" s="38" t="s">
        <v>847</v>
      </c>
      <c r="F61" s="70">
        <v>1.5</v>
      </c>
      <c r="G61" s="70">
        <v>8.5</v>
      </c>
      <c r="H61" s="70">
        <v>1.9</v>
      </c>
      <c r="I61" s="70">
        <v>1.9</v>
      </c>
      <c r="J61" s="40">
        <v>3400</v>
      </c>
      <c r="K61" s="38" t="str">
        <f t="shared" si="0"/>
        <v>A:1,50 x C:8,50 x L:1,90-1,90 x P:3.400kg</v>
      </c>
      <c r="N61" s="38" t="str">
        <f t="shared" si="1"/>
        <v>061234985</v>
      </c>
      <c r="O61" s="43">
        <v>61234985000961</v>
      </c>
      <c r="P61" s="38" t="s">
        <v>360</v>
      </c>
      <c r="Q61" s="38" t="s">
        <v>361</v>
      </c>
      <c r="R61" s="38" t="s">
        <v>401</v>
      </c>
    </row>
    <row r="62" spans="1:18" x14ac:dyDescent="0.3">
      <c r="A62" s="38">
        <v>3</v>
      </c>
      <c r="B62" s="38" t="s">
        <v>830</v>
      </c>
      <c r="C62" s="38" t="s">
        <v>831</v>
      </c>
      <c r="D62" s="38" t="s">
        <v>848</v>
      </c>
      <c r="E62" s="38" t="s">
        <v>849</v>
      </c>
      <c r="F62" s="70">
        <v>1.5</v>
      </c>
      <c r="G62" s="70">
        <v>9</v>
      </c>
      <c r="H62" s="70">
        <v>1.9</v>
      </c>
      <c r="I62" s="70">
        <v>1.9</v>
      </c>
      <c r="J62" s="40">
        <v>3600</v>
      </c>
      <c r="K62" s="38" t="str">
        <f t="shared" si="0"/>
        <v>A:1,50 x C:9,00 x L:1,90-1,90 x P:3.600kg</v>
      </c>
      <c r="N62" s="38" t="str">
        <f t="shared" si="1"/>
        <v>045137364</v>
      </c>
      <c r="O62" s="43">
        <v>45137364000156</v>
      </c>
      <c r="P62" s="38" t="s">
        <v>402</v>
      </c>
      <c r="Q62" s="38" t="s">
        <v>403</v>
      </c>
      <c r="R62" s="38" t="s">
        <v>322</v>
      </c>
    </row>
    <row r="63" spans="1:18" x14ac:dyDescent="0.3">
      <c r="A63" s="38">
        <v>3</v>
      </c>
      <c r="B63" s="38" t="s">
        <v>830</v>
      </c>
      <c r="C63" s="38" t="s">
        <v>831</v>
      </c>
      <c r="D63" s="38" t="s">
        <v>850</v>
      </c>
      <c r="E63" s="38" t="s">
        <v>851</v>
      </c>
      <c r="F63" s="70">
        <v>1.5</v>
      </c>
      <c r="G63" s="70">
        <v>9.5</v>
      </c>
      <c r="H63" s="70">
        <v>1.9</v>
      </c>
      <c r="I63" s="70">
        <v>1.9</v>
      </c>
      <c r="J63" s="40">
        <v>3800</v>
      </c>
      <c r="K63" s="38" t="str">
        <f t="shared" si="0"/>
        <v>A:1,50 x C:9,50 x L:1,90-1,90 x P:3.800kg</v>
      </c>
      <c r="N63" s="38" t="str">
        <f t="shared" si="1"/>
        <v>000428307</v>
      </c>
      <c r="O63" s="43">
        <v>428307002484</v>
      </c>
      <c r="P63" s="38" t="s">
        <v>298</v>
      </c>
      <c r="Q63" s="38" t="s">
        <v>298</v>
      </c>
      <c r="R63" s="38" t="s">
        <v>310</v>
      </c>
    </row>
    <row r="64" spans="1:18" x14ac:dyDescent="0.3">
      <c r="A64" s="38">
        <v>3</v>
      </c>
      <c r="B64" s="38" t="s">
        <v>830</v>
      </c>
      <c r="C64" s="38" t="s">
        <v>831</v>
      </c>
      <c r="D64" s="38" t="s">
        <v>852</v>
      </c>
      <c r="E64" s="38" t="s">
        <v>853</v>
      </c>
      <c r="F64" s="70">
        <v>1.5</v>
      </c>
      <c r="G64" s="70">
        <v>10</v>
      </c>
      <c r="H64" s="70">
        <v>1.9</v>
      </c>
      <c r="I64" s="70">
        <v>1.9</v>
      </c>
      <c r="J64" s="40">
        <v>4000</v>
      </c>
      <c r="K64" s="38" t="str">
        <f t="shared" si="0"/>
        <v>A:1,50 x C:10,00 x L:1,90-1,90 x P:4.000kg</v>
      </c>
      <c r="N64" s="38" t="str">
        <f t="shared" si="1"/>
        <v>016793575</v>
      </c>
      <c r="O64" s="43">
        <v>16793575000149</v>
      </c>
      <c r="P64" s="38" t="s">
        <v>404</v>
      </c>
      <c r="Q64" s="38" t="s">
        <v>405</v>
      </c>
      <c r="R64" s="38" t="s">
        <v>322</v>
      </c>
    </row>
    <row r="65" spans="1:18" x14ac:dyDescent="0.3">
      <c r="A65" s="38">
        <v>3</v>
      </c>
      <c r="B65" s="38" t="s">
        <v>830</v>
      </c>
      <c r="C65" s="38" t="s">
        <v>831</v>
      </c>
      <c r="D65" s="38" t="s">
        <v>854</v>
      </c>
      <c r="E65" s="38" t="s">
        <v>855</v>
      </c>
      <c r="F65" s="70">
        <v>1.5</v>
      </c>
      <c r="G65" s="70">
        <v>10.5</v>
      </c>
      <c r="H65" s="70">
        <v>1.9</v>
      </c>
      <c r="I65" s="70">
        <v>1.9</v>
      </c>
      <c r="J65" s="40">
        <v>4200</v>
      </c>
      <c r="K65" s="38" t="str">
        <f t="shared" si="0"/>
        <v>A:1,50 x C:10,50 x L:1,90-1,90 x P:4.200kg</v>
      </c>
      <c r="N65" s="38" t="str">
        <f t="shared" si="1"/>
        <v>006338414</v>
      </c>
      <c r="O65" s="43">
        <v>6338414000101</v>
      </c>
      <c r="P65" s="38" t="s">
        <v>406</v>
      </c>
      <c r="Q65" s="38" t="s">
        <v>407</v>
      </c>
      <c r="R65" s="38" t="s">
        <v>332</v>
      </c>
    </row>
    <row r="66" spans="1:18" x14ac:dyDescent="0.3">
      <c r="A66" s="38">
        <v>3</v>
      </c>
      <c r="B66" s="38" t="s">
        <v>830</v>
      </c>
      <c r="C66" s="38" t="s">
        <v>831</v>
      </c>
      <c r="D66" s="38" t="s">
        <v>856</v>
      </c>
      <c r="E66" s="38" t="s">
        <v>857</v>
      </c>
      <c r="F66" s="70">
        <v>1.5</v>
      </c>
      <c r="G66" s="70">
        <v>11</v>
      </c>
      <c r="H66" s="70">
        <v>1.9</v>
      </c>
      <c r="I66" s="70">
        <v>1.9</v>
      </c>
      <c r="J66" s="40">
        <v>4400</v>
      </c>
      <c r="K66" s="38" t="str">
        <f t="shared" si="0"/>
        <v>A:1,50 x C:11,00 x L:1,90-1,90 x P:4.400kg</v>
      </c>
      <c r="N66" s="38" t="str">
        <f t="shared" si="1"/>
        <v>041996351</v>
      </c>
      <c r="O66" s="43">
        <v>41996351000181</v>
      </c>
      <c r="P66" s="38" t="s">
        <v>408</v>
      </c>
      <c r="Q66" s="38" t="s">
        <v>409</v>
      </c>
      <c r="R66" s="38" t="s">
        <v>322</v>
      </c>
    </row>
    <row r="67" spans="1:18" x14ac:dyDescent="0.3">
      <c r="A67" s="38">
        <v>3</v>
      </c>
      <c r="B67" s="38" t="s">
        <v>830</v>
      </c>
      <c r="C67" s="38" t="s">
        <v>831</v>
      </c>
      <c r="D67" s="38" t="s">
        <v>858</v>
      </c>
      <c r="E67" s="38" t="s">
        <v>859</v>
      </c>
      <c r="F67" s="70">
        <v>1.5</v>
      </c>
      <c r="G67" s="70">
        <v>11.5</v>
      </c>
      <c r="H67" s="70">
        <v>1.9</v>
      </c>
      <c r="I67" s="70">
        <v>1.9</v>
      </c>
      <c r="J67" s="40">
        <v>4600</v>
      </c>
      <c r="K67" s="38" t="str">
        <f t="shared" ref="K67:K130" si="2">"A:"&amp;TEXT(F67,"0,00")&amp;" x C:"&amp;TEXT(G67,"0,00")&amp;" x L:"&amp;TEXT(H67,"0,00")&amp;"-"&amp;TEXT(I67,"0,00")&amp;" x P:"&amp;TEXT(J67,"0.00")&amp;"kg"</f>
        <v>A:1,50 x C:11,50 x L:1,90-1,90 x P:4.600kg</v>
      </c>
      <c r="N67" s="38" t="str">
        <f t="shared" ref="N67:N130" si="3">"0"&amp;LEFT(TEXT(SUBSTITUTE(SUBSTITUTE(SUBSTITUTE(O67,".",""),"/",""),"-",""),"00000000000000"),8)</f>
        <v>051169694</v>
      </c>
      <c r="O67" s="43">
        <v>51169694000126</v>
      </c>
      <c r="P67" s="38" t="s">
        <v>410</v>
      </c>
      <c r="Q67" s="38" t="s">
        <v>411</v>
      </c>
      <c r="R67" s="38" t="s">
        <v>412</v>
      </c>
    </row>
    <row r="68" spans="1:18" x14ac:dyDescent="0.3">
      <c r="A68" s="38">
        <v>3</v>
      </c>
      <c r="B68" s="38" t="s">
        <v>830</v>
      </c>
      <c r="C68" s="38" t="s">
        <v>831</v>
      </c>
      <c r="D68" s="38" t="s">
        <v>860</v>
      </c>
      <c r="E68" s="38" t="s">
        <v>861</v>
      </c>
      <c r="F68" s="70">
        <v>1.5</v>
      </c>
      <c r="G68" s="70">
        <v>12</v>
      </c>
      <c r="H68" s="70">
        <v>1.9</v>
      </c>
      <c r="I68" s="70">
        <v>1.9</v>
      </c>
      <c r="J68" s="40">
        <v>4800</v>
      </c>
      <c r="K68" s="38" t="str">
        <f t="shared" si="2"/>
        <v>A:1,50 x C:12,00 x L:1,90-1,90 x P:4.800kg</v>
      </c>
      <c r="N68" s="38" t="str">
        <f t="shared" si="3"/>
        <v>062111348</v>
      </c>
      <c r="O68" s="43">
        <v>62111348000103</v>
      </c>
      <c r="P68" s="38" t="s">
        <v>413</v>
      </c>
      <c r="Q68" s="38" t="s">
        <v>414</v>
      </c>
      <c r="R68" s="38" t="s">
        <v>343</v>
      </c>
    </row>
    <row r="69" spans="1:18" x14ac:dyDescent="0.3">
      <c r="A69" s="38">
        <v>3</v>
      </c>
      <c r="B69" s="38" t="s">
        <v>830</v>
      </c>
      <c r="C69" s="38" t="s">
        <v>831</v>
      </c>
      <c r="D69" s="38" t="s">
        <v>862</v>
      </c>
      <c r="E69" s="38" t="s">
        <v>863</v>
      </c>
      <c r="F69" s="70">
        <v>1.5</v>
      </c>
      <c r="G69" s="70">
        <v>12.5</v>
      </c>
      <c r="H69" s="70">
        <v>1.9</v>
      </c>
      <c r="I69" s="70">
        <v>1.9</v>
      </c>
      <c r="J69" s="40">
        <v>5000</v>
      </c>
      <c r="K69" s="38" t="str">
        <f t="shared" si="2"/>
        <v>A:1,50 x C:12,50 x L:1,90-1,90 x P:5.000kg</v>
      </c>
      <c r="N69" s="38" t="str">
        <f t="shared" si="3"/>
        <v>006208105</v>
      </c>
      <c r="O69" s="43">
        <v>6208105000621</v>
      </c>
      <c r="P69" s="38" t="s">
        <v>415</v>
      </c>
      <c r="Q69" s="38" t="s">
        <v>329</v>
      </c>
      <c r="R69" s="38" t="s">
        <v>416</v>
      </c>
    </row>
    <row r="70" spans="1:18" x14ac:dyDescent="0.3">
      <c r="A70" s="38">
        <v>3</v>
      </c>
      <c r="B70" s="38" t="s">
        <v>830</v>
      </c>
      <c r="C70" s="38" t="s">
        <v>864</v>
      </c>
      <c r="D70" s="38" t="s">
        <v>865</v>
      </c>
      <c r="E70" s="38" t="s">
        <v>866</v>
      </c>
      <c r="F70" s="70">
        <v>1.5</v>
      </c>
      <c r="G70" s="70">
        <v>2</v>
      </c>
      <c r="H70" s="70">
        <v>1.9</v>
      </c>
      <c r="I70" s="70">
        <v>1.9</v>
      </c>
      <c r="J70" s="40">
        <v>1000</v>
      </c>
      <c r="K70" s="38" t="str">
        <f t="shared" si="2"/>
        <v>A:1,50 x C:2,00 x L:1,90-1,90 x P:1.000kg</v>
      </c>
      <c r="N70" s="38" t="str">
        <f t="shared" si="3"/>
        <v>012831793</v>
      </c>
      <c r="O70" s="43">
        <v>12831793000170</v>
      </c>
      <c r="P70" s="38" t="s">
        <v>417</v>
      </c>
      <c r="Q70" s="38" t="s">
        <v>418</v>
      </c>
      <c r="R70" s="38" t="s">
        <v>322</v>
      </c>
    </row>
    <row r="71" spans="1:18" x14ac:dyDescent="0.3">
      <c r="A71" s="38">
        <v>3</v>
      </c>
      <c r="B71" s="38" t="s">
        <v>830</v>
      </c>
      <c r="C71" s="38" t="s">
        <v>864</v>
      </c>
      <c r="D71" s="38" t="s">
        <v>867</v>
      </c>
      <c r="E71" s="38" t="s">
        <v>868</v>
      </c>
      <c r="F71" s="70">
        <v>1.5</v>
      </c>
      <c r="G71" s="70">
        <v>2.5</v>
      </c>
      <c r="H71" s="70">
        <v>1.9</v>
      </c>
      <c r="I71" s="70">
        <v>1.9</v>
      </c>
      <c r="J71" s="40">
        <v>1150</v>
      </c>
      <c r="K71" s="38" t="str">
        <f t="shared" si="2"/>
        <v>A:1,50 x C:2,50 x L:1,90-1,90 x P:1.150kg</v>
      </c>
      <c r="N71" s="38" t="str">
        <f t="shared" si="3"/>
        <v>045585920</v>
      </c>
      <c r="O71" s="43">
        <v>45585920000157</v>
      </c>
      <c r="P71" s="38" t="s">
        <v>419</v>
      </c>
      <c r="Q71" s="38" t="s">
        <v>420</v>
      </c>
      <c r="R71" s="38" t="s">
        <v>322</v>
      </c>
    </row>
    <row r="72" spans="1:18" x14ac:dyDescent="0.3">
      <c r="A72" s="38">
        <v>3</v>
      </c>
      <c r="B72" s="38" t="s">
        <v>830</v>
      </c>
      <c r="C72" s="38" t="s">
        <v>864</v>
      </c>
      <c r="D72" s="38" t="s">
        <v>869</v>
      </c>
      <c r="E72" s="38" t="s">
        <v>870</v>
      </c>
      <c r="F72" s="70">
        <v>1.5</v>
      </c>
      <c r="G72" s="70">
        <v>3</v>
      </c>
      <c r="H72" s="70">
        <v>1.9</v>
      </c>
      <c r="I72" s="70">
        <v>1.9</v>
      </c>
      <c r="J72" s="40">
        <v>1380</v>
      </c>
      <c r="K72" s="38" t="str">
        <f t="shared" si="2"/>
        <v>A:1,50 x C:3,00 x L:1,90-1,90 x P:1.380kg</v>
      </c>
      <c r="N72" s="38" t="str">
        <f t="shared" si="3"/>
        <v>032878844</v>
      </c>
      <c r="O72" s="43">
        <v>32878844000126</v>
      </c>
      <c r="P72" s="38" t="s">
        <v>421</v>
      </c>
      <c r="Q72" s="38" t="s">
        <v>235</v>
      </c>
      <c r="R72" s="38" t="s">
        <v>359</v>
      </c>
    </row>
    <row r="73" spans="1:18" x14ac:dyDescent="0.3">
      <c r="A73" s="38">
        <v>3</v>
      </c>
      <c r="B73" s="38" t="s">
        <v>830</v>
      </c>
      <c r="C73" s="38" t="s">
        <v>864</v>
      </c>
      <c r="D73" s="38" t="s">
        <v>871</v>
      </c>
      <c r="E73" s="38" t="s">
        <v>872</v>
      </c>
      <c r="F73" s="70">
        <v>1.5</v>
      </c>
      <c r="G73" s="70">
        <v>3.5</v>
      </c>
      <c r="H73" s="70">
        <v>1.9</v>
      </c>
      <c r="I73" s="70">
        <v>1.9</v>
      </c>
      <c r="J73" s="40">
        <v>1610</v>
      </c>
      <c r="K73" s="38" t="str">
        <f t="shared" si="2"/>
        <v>A:1,50 x C:3,50 x L:1,90-1,90 x P:1.610kg</v>
      </c>
      <c r="N73" s="38" t="str">
        <f t="shared" si="3"/>
        <v>082332735</v>
      </c>
      <c r="O73" s="43">
        <v>82332735000187</v>
      </c>
      <c r="P73" s="38" t="s">
        <v>422</v>
      </c>
      <c r="Q73" s="38" t="s">
        <v>321</v>
      </c>
      <c r="R73" s="38" t="s">
        <v>322</v>
      </c>
    </row>
    <row r="74" spans="1:18" x14ac:dyDescent="0.3">
      <c r="A74" s="38">
        <v>3</v>
      </c>
      <c r="B74" s="38" t="s">
        <v>830</v>
      </c>
      <c r="C74" s="38" t="s">
        <v>864</v>
      </c>
      <c r="D74" s="38" t="s">
        <v>873</v>
      </c>
      <c r="E74" s="38" t="s">
        <v>874</v>
      </c>
      <c r="F74" s="70">
        <v>1.5</v>
      </c>
      <c r="G74" s="70">
        <v>4</v>
      </c>
      <c r="H74" s="70">
        <v>1.9</v>
      </c>
      <c r="I74" s="70">
        <v>1.9</v>
      </c>
      <c r="J74" s="40">
        <v>1840</v>
      </c>
      <c r="K74" s="38" t="str">
        <f t="shared" si="2"/>
        <v>A:1,50 x C:4,00 x L:1,90-1,90 x P:1.840kg</v>
      </c>
      <c r="N74" s="38" t="str">
        <f t="shared" si="3"/>
        <v>016671210</v>
      </c>
      <c r="O74" s="43">
        <v>16671210000222</v>
      </c>
      <c r="P74" s="38" t="s">
        <v>423</v>
      </c>
      <c r="Q74" s="38" t="s">
        <v>424</v>
      </c>
      <c r="R74" s="38" t="s">
        <v>425</v>
      </c>
    </row>
    <row r="75" spans="1:18" x14ac:dyDescent="0.3">
      <c r="A75" s="38">
        <v>3</v>
      </c>
      <c r="B75" s="38" t="s">
        <v>830</v>
      </c>
      <c r="C75" s="38" t="s">
        <v>864</v>
      </c>
      <c r="D75" s="38" t="s">
        <v>875</v>
      </c>
      <c r="E75" s="38" t="s">
        <v>876</v>
      </c>
      <c r="F75" s="70">
        <v>1.5</v>
      </c>
      <c r="G75" s="70">
        <v>4.5</v>
      </c>
      <c r="H75" s="70">
        <v>1.9</v>
      </c>
      <c r="I75" s="70">
        <v>1.9</v>
      </c>
      <c r="J75" s="40">
        <v>2070</v>
      </c>
      <c r="K75" s="38" t="str">
        <f t="shared" si="2"/>
        <v>A:1,50 x C:4,50 x L:1,90-1,90 x P:2.070kg</v>
      </c>
      <c r="N75" s="38" t="str">
        <f t="shared" si="3"/>
        <v>059119304</v>
      </c>
      <c r="O75" s="43">
        <v>59119304000115</v>
      </c>
      <c r="P75" s="38" t="s">
        <v>426</v>
      </c>
      <c r="Q75" s="38" t="s">
        <v>427</v>
      </c>
      <c r="R75" s="38" t="s">
        <v>359</v>
      </c>
    </row>
    <row r="76" spans="1:18" x14ac:dyDescent="0.3">
      <c r="A76" s="38">
        <v>3</v>
      </c>
      <c r="B76" s="38" t="s">
        <v>830</v>
      </c>
      <c r="C76" s="38" t="s">
        <v>864</v>
      </c>
      <c r="D76" s="38" t="s">
        <v>877</v>
      </c>
      <c r="E76" s="38" t="s">
        <v>878</v>
      </c>
      <c r="F76" s="70">
        <v>1.5</v>
      </c>
      <c r="G76" s="70">
        <v>5</v>
      </c>
      <c r="H76" s="70">
        <v>1.9</v>
      </c>
      <c r="I76" s="70">
        <v>1.9</v>
      </c>
      <c r="J76" s="40">
        <v>2300</v>
      </c>
      <c r="K76" s="38" t="str">
        <f t="shared" si="2"/>
        <v>A:1,50 x C:5,00 x L:1,90-1,90 x P:2.300kg</v>
      </c>
      <c r="N76" s="38" t="str">
        <f t="shared" si="3"/>
        <v>060472749</v>
      </c>
      <c r="O76" s="43">
        <v>60472749000163</v>
      </c>
      <c r="P76" s="38" t="s">
        <v>428</v>
      </c>
      <c r="Q76" s="38" t="s">
        <v>429</v>
      </c>
      <c r="R76" s="38" t="s">
        <v>430</v>
      </c>
    </row>
    <row r="77" spans="1:18" x14ac:dyDescent="0.3">
      <c r="A77" s="38">
        <v>3</v>
      </c>
      <c r="B77" s="38" t="s">
        <v>830</v>
      </c>
      <c r="C77" s="38" t="s">
        <v>864</v>
      </c>
      <c r="D77" s="38" t="s">
        <v>879</v>
      </c>
      <c r="E77" s="38" t="s">
        <v>880</v>
      </c>
      <c r="F77" s="70">
        <v>1.5</v>
      </c>
      <c r="G77" s="70">
        <v>5.5</v>
      </c>
      <c r="H77" s="70">
        <v>1.9</v>
      </c>
      <c r="I77" s="70">
        <v>1.9</v>
      </c>
      <c r="J77" s="40">
        <v>2530</v>
      </c>
      <c r="K77" s="38" t="str">
        <f t="shared" si="2"/>
        <v>A:1,50 x C:5,50 x L:1,90-1,90 x P:2.530kg</v>
      </c>
      <c r="N77" s="38" t="str">
        <f t="shared" si="3"/>
        <v>018725298</v>
      </c>
      <c r="O77" s="43">
        <v>18725298000162</v>
      </c>
      <c r="P77" s="38" t="s">
        <v>431</v>
      </c>
      <c r="Q77" s="38" t="s">
        <v>432</v>
      </c>
      <c r="R77" s="38" t="s">
        <v>430</v>
      </c>
    </row>
    <row r="78" spans="1:18" x14ac:dyDescent="0.3">
      <c r="A78" s="38">
        <v>3</v>
      </c>
      <c r="B78" s="38" t="s">
        <v>830</v>
      </c>
      <c r="C78" s="38" t="s">
        <v>864</v>
      </c>
      <c r="D78" s="38" t="s">
        <v>881</v>
      </c>
      <c r="E78" s="38" t="s">
        <v>882</v>
      </c>
      <c r="F78" s="70">
        <v>1.5</v>
      </c>
      <c r="G78" s="70">
        <v>6</v>
      </c>
      <c r="H78" s="70">
        <v>1.9</v>
      </c>
      <c r="I78" s="70">
        <v>1.9</v>
      </c>
      <c r="J78" s="40">
        <v>2760</v>
      </c>
      <c r="K78" s="38" t="str">
        <f t="shared" si="2"/>
        <v>A:1,50 x C:6,00 x L:1,90-1,90 x P:2.760kg</v>
      </c>
      <c r="N78" s="38" t="str">
        <f t="shared" si="3"/>
        <v>009167582</v>
      </c>
      <c r="O78" s="43">
        <v>9167582000170</v>
      </c>
      <c r="P78" s="38" t="s">
        <v>433</v>
      </c>
      <c r="Q78" s="38" t="s">
        <v>434</v>
      </c>
      <c r="R78" s="38" t="s">
        <v>322</v>
      </c>
    </row>
    <row r="79" spans="1:18" x14ac:dyDescent="0.3">
      <c r="A79" s="38">
        <v>3</v>
      </c>
      <c r="B79" s="38" t="s">
        <v>830</v>
      </c>
      <c r="C79" s="38" t="s">
        <v>864</v>
      </c>
      <c r="D79" s="38" t="s">
        <v>883</v>
      </c>
      <c r="E79" s="38" t="s">
        <v>884</v>
      </c>
      <c r="F79" s="70">
        <v>1.5</v>
      </c>
      <c r="G79" s="70">
        <v>6.5</v>
      </c>
      <c r="H79" s="70">
        <v>1.9</v>
      </c>
      <c r="I79" s="70">
        <v>1.9</v>
      </c>
      <c r="J79" s="40">
        <v>2990</v>
      </c>
      <c r="K79" s="38" t="str">
        <f t="shared" si="2"/>
        <v>A:1,50 x C:6,50 x L:1,90-1,90 x P:2.990kg</v>
      </c>
      <c r="N79" s="38" t="str">
        <f t="shared" si="3"/>
        <v>044160580</v>
      </c>
      <c r="O79" s="43">
        <v>44160580000150</v>
      </c>
      <c r="P79" s="38" t="s">
        <v>435</v>
      </c>
      <c r="Q79" s="38" t="s">
        <v>436</v>
      </c>
      <c r="R79" s="38" t="s">
        <v>437</v>
      </c>
    </row>
    <row r="80" spans="1:18" x14ac:dyDescent="0.3">
      <c r="A80" s="38">
        <v>3</v>
      </c>
      <c r="B80" s="38" t="s">
        <v>830</v>
      </c>
      <c r="C80" s="38" t="s">
        <v>864</v>
      </c>
      <c r="D80" s="38" t="s">
        <v>885</v>
      </c>
      <c r="E80" s="38" t="s">
        <v>886</v>
      </c>
      <c r="F80" s="70">
        <v>1.5</v>
      </c>
      <c r="G80" s="70">
        <v>7</v>
      </c>
      <c r="H80" s="70">
        <v>1.9</v>
      </c>
      <c r="I80" s="70">
        <v>1.9</v>
      </c>
      <c r="J80" s="40">
        <v>3220</v>
      </c>
      <c r="K80" s="38" t="str">
        <f t="shared" si="2"/>
        <v>A:1,50 x C:7,00 x L:1,90-1,90 x P:3.220kg</v>
      </c>
      <c r="N80" s="38" t="str">
        <f t="shared" si="3"/>
        <v>042932416</v>
      </c>
      <c r="O80" s="43">
        <v>42932416000198</v>
      </c>
      <c r="P80" s="38" t="s">
        <v>438</v>
      </c>
      <c r="Q80" s="38" t="s">
        <v>439</v>
      </c>
      <c r="R80" s="38" t="s">
        <v>343</v>
      </c>
    </row>
    <row r="81" spans="1:18" x14ac:dyDescent="0.3">
      <c r="A81" s="38">
        <v>3</v>
      </c>
      <c r="B81" s="38" t="s">
        <v>830</v>
      </c>
      <c r="C81" s="38" t="s">
        <v>864</v>
      </c>
      <c r="D81" s="38" t="s">
        <v>887</v>
      </c>
      <c r="E81" s="38" t="s">
        <v>888</v>
      </c>
      <c r="F81" s="70">
        <v>1.5</v>
      </c>
      <c r="G81" s="70">
        <v>7.5</v>
      </c>
      <c r="H81" s="70">
        <v>1.9</v>
      </c>
      <c r="I81" s="70">
        <v>1.9</v>
      </c>
      <c r="J81" s="40">
        <v>3450</v>
      </c>
      <c r="K81" s="38" t="str">
        <f t="shared" si="2"/>
        <v>A:1,50 x C:7,50 x L:1,90-1,90 x P:3.450kg</v>
      </c>
      <c r="N81" s="38" t="str">
        <f t="shared" si="3"/>
        <v>061196032</v>
      </c>
      <c r="O81" s="43">
        <v>61196032000107</v>
      </c>
      <c r="P81" s="38" t="s">
        <v>440</v>
      </c>
      <c r="Q81" s="38" t="s">
        <v>211</v>
      </c>
      <c r="R81" s="38" t="s">
        <v>380</v>
      </c>
    </row>
    <row r="82" spans="1:18" x14ac:dyDescent="0.3">
      <c r="A82" s="38">
        <v>3</v>
      </c>
      <c r="B82" s="38" t="s">
        <v>830</v>
      </c>
      <c r="C82" s="38" t="s">
        <v>864</v>
      </c>
      <c r="D82" s="38" t="s">
        <v>889</v>
      </c>
      <c r="E82" s="38" t="s">
        <v>890</v>
      </c>
      <c r="F82" s="70">
        <v>1.5</v>
      </c>
      <c r="G82" s="70">
        <v>8</v>
      </c>
      <c r="H82" s="70">
        <v>1.9</v>
      </c>
      <c r="I82" s="70">
        <v>1.9</v>
      </c>
      <c r="J82" s="40">
        <v>3680</v>
      </c>
      <c r="K82" s="38" t="str">
        <f t="shared" si="2"/>
        <v>A:1,50 x C:8,00 x L:1,90-1,90 x P:3.680kg</v>
      </c>
      <c r="N82" s="38" t="str">
        <f t="shared" si="3"/>
        <v>030712609</v>
      </c>
      <c r="O82" s="43">
        <v>30712609000154</v>
      </c>
      <c r="P82" s="38" t="s">
        <v>441</v>
      </c>
      <c r="Q82" s="38" t="s">
        <v>442</v>
      </c>
      <c r="R82" s="38" t="s">
        <v>392</v>
      </c>
    </row>
    <row r="83" spans="1:18" x14ac:dyDescent="0.3">
      <c r="A83" s="38">
        <v>3</v>
      </c>
      <c r="B83" s="38" t="s">
        <v>830</v>
      </c>
      <c r="C83" s="38" t="s">
        <v>891</v>
      </c>
      <c r="D83" s="38" t="s">
        <v>889</v>
      </c>
      <c r="E83" s="38" t="s">
        <v>892</v>
      </c>
      <c r="F83" s="70">
        <v>1.6</v>
      </c>
      <c r="G83" s="70">
        <v>4.88</v>
      </c>
      <c r="H83" s="70">
        <v>1.8</v>
      </c>
      <c r="I83" s="70">
        <v>1.8</v>
      </c>
      <c r="J83" s="40">
        <v>1900</v>
      </c>
      <c r="K83" s="38" t="str">
        <f t="shared" si="2"/>
        <v>A:1,60 x C:4,88 x L:1,80-1,80 x P:1.900kg</v>
      </c>
      <c r="N83" s="38" t="str">
        <f t="shared" si="3"/>
        <v>018492099</v>
      </c>
      <c r="O83" s="43">
        <v>18492099000151</v>
      </c>
      <c r="P83" s="38" t="s">
        <v>443</v>
      </c>
      <c r="Q83" s="38" t="s">
        <v>444</v>
      </c>
      <c r="R83" s="38" t="s">
        <v>445</v>
      </c>
    </row>
    <row r="84" spans="1:18" x14ac:dyDescent="0.3">
      <c r="A84" s="38">
        <v>3</v>
      </c>
      <c r="B84" s="38" t="s">
        <v>830</v>
      </c>
      <c r="C84" s="38" t="s">
        <v>893</v>
      </c>
      <c r="D84" s="38" t="s">
        <v>889</v>
      </c>
      <c r="E84" s="38" t="s">
        <v>894</v>
      </c>
      <c r="F84" s="70">
        <v>1.6</v>
      </c>
      <c r="G84" s="70">
        <v>4.88</v>
      </c>
      <c r="H84" s="70">
        <v>1.7</v>
      </c>
      <c r="I84" s="70">
        <v>1.7</v>
      </c>
      <c r="J84" s="40">
        <v>1800</v>
      </c>
      <c r="K84" s="38" t="str">
        <f t="shared" si="2"/>
        <v>A:1,60 x C:4,88 x L:1,70-1,70 x P:1.800kg</v>
      </c>
      <c r="N84" s="38" t="str">
        <f t="shared" si="3"/>
        <v>045428882</v>
      </c>
      <c r="O84" s="43">
        <v>45428882000129</v>
      </c>
      <c r="P84" s="38" t="s">
        <v>446</v>
      </c>
      <c r="Q84" s="38" t="s">
        <v>447</v>
      </c>
      <c r="R84" s="38" t="s">
        <v>430</v>
      </c>
    </row>
    <row r="85" spans="1:18" x14ac:dyDescent="0.3">
      <c r="A85" s="38">
        <v>3</v>
      </c>
      <c r="B85" s="38" t="s">
        <v>830</v>
      </c>
      <c r="C85" s="38" t="s">
        <v>864</v>
      </c>
      <c r="D85" s="38" t="s">
        <v>895</v>
      </c>
      <c r="E85" s="38" t="s">
        <v>896</v>
      </c>
      <c r="F85" s="70">
        <v>1.5</v>
      </c>
      <c r="G85" s="70">
        <v>8.5</v>
      </c>
      <c r="H85" s="70">
        <v>1.9</v>
      </c>
      <c r="I85" s="70">
        <v>1.9</v>
      </c>
      <c r="J85" s="40">
        <v>3910</v>
      </c>
      <c r="K85" s="38" t="str">
        <f t="shared" si="2"/>
        <v>A:1,50 x C:8,50 x L:1,90-1,90 x P:3.910kg</v>
      </c>
      <c r="N85" s="38" t="str">
        <f t="shared" si="3"/>
        <v>043196595</v>
      </c>
      <c r="O85" s="43">
        <v>43196595000105</v>
      </c>
      <c r="P85" s="38" t="s">
        <v>448</v>
      </c>
      <c r="Q85" s="38" t="s">
        <v>449</v>
      </c>
      <c r="R85" s="38" t="s">
        <v>450</v>
      </c>
    </row>
    <row r="86" spans="1:18" x14ac:dyDescent="0.3">
      <c r="A86" s="38">
        <v>3</v>
      </c>
      <c r="B86" s="38" t="s">
        <v>830</v>
      </c>
      <c r="C86" s="38" t="s">
        <v>891</v>
      </c>
      <c r="D86" s="38" t="s">
        <v>897</v>
      </c>
      <c r="E86" s="38" t="s">
        <v>898</v>
      </c>
      <c r="F86" s="70">
        <v>1.6</v>
      </c>
      <c r="G86" s="70">
        <v>5.49</v>
      </c>
      <c r="H86" s="70">
        <v>1.8</v>
      </c>
      <c r="I86" s="70">
        <v>1.8</v>
      </c>
      <c r="J86" s="40">
        <v>2050</v>
      </c>
      <c r="K86" s="38" t="str">
        <f t="shared" si="2"/>
        <v>A:1,60 x C:5,49 x L:1,80-1,80 x P:2.050kg</v>
      </c>
      <c r="N86" s="38" t="str">
        <f t="shared" si="3"/>
        <v>029866343</v>
      </c>
      <c r="O86" s="43">
        <v>29866343000115</v>
      </c>
      <c r="P86" s="38" t="s">
        <v>451</v>
      </c>
      <c r="Q86" s="38" t="s">
        <v>452</v>
      </c>
      <c r="R86" s="38" t="s">
        <v>453</v>
      </c>
    </row>
    <row r="87" spans="1:18" x14ac:dyDescent="0.3">
      <c r="A87" s="38">
        <v>3</v>
      </c>
      <c r="B87" s="38" t="s">
        <v>830</v>
      </c>
      <c r="C87" s="38" t="s">
        <v>893</v>
      </c>
      <c r="D87" s="38" t="s">
        <v>897</v>
      </c>
      <c r="E87" s="38" t="s">
        <v>899</v>
      </c>
      <c r="F87" s="70">
        <v>1.6</v>
      </c>
      <c r="G87" s="70">
        <v>5.49</v>
      </c>
      <c r="H87" s="70">
        <v>1.7</v>
      </c>
      <c r="I87" s="70">
        <v>1.7</v>
      </c>
      <c r="J87" s="40">
        <v>1950</v>
      </c>
      <c r="K87" s="38" t="str">
        <f t="shared" si="2"/>
        <v>A:1,60 x C:5,49 x L:1,70-1,70 x P:1.950kg</v>
      </c>
      <c r="N87" s="38" t="str">
        <f t="shared" si="3"/>
        <v>033144048</v>
      </c>
      <c r="O87" s="43">
        <v>33144048000122</v>
      </c>
      <c r="P87" s="38" t="s">
        <v>454</v>
      </c>
      <c r="Q87" s="38" t="s">
        <v>455</v>
      </c>
      <c r="R87" s="38" t="s">
        <v>359</v>
      </c>
    </row>
    <row r="88" spans="1:18" x14ac:dyDescent="0.3">
      <c r="A88" s="38">
        <v>3</v>
      </c>
      <c r="B88" s="38" t="s">
        <v>830</v>
      </c>
      <c r="C88" s="38" t="s">
        <v>891</v>
      </c>
      <c r="D88" s="38" t="s">
        <v>900</v>
      </c>
      <c r="E88" s="38" t="s">
        <v>901</v>
      </c>
      <c r="F88" s="70">
        <v>1.6</v>
      </c>
      <c r="G88" s="70">
        <v>6.1</v>
      </c>
      <c r="H88" s="70">
        <v>1.8</v>
      </c>
      <c r="I88" s="70">
        <v>1.8</v>
      </c>
      <c r="J88" s="40">
        <v>2200</v>
      </c>
      <c r="K88" s="38" t="str">
        <f t="shared" si="2"/>
        <v>A:1,60 x C:6,10 x L:1,80-1,80 x P:2.200kg</v>
      </c>
      <c r="N88" s="38" t="str">
        <f t="shared" si="3"/>
        <v>037717850</v>
      </c>
      <c r="O88" s="43">
        <v>37717850000115</v>
      </c>
      <c r="P88" s="38" t="s">
        <v>456</v>
      </c>
      <c r="Q88" s="38" t="s">
        <v>457</v>
      </c>
      <c r="R88" s="38" t="s">
        <v>392</v>
      </c>
    </row>
    <row r="89" spans="1:18" x14ac:dyDescent="0.3">
      <c r="A89" s="38">
        <v>3</v>
      </c>
      <c r="B89" s="38" t="s">
        <v>830</v>
      </c>
      <c r="C89" s="38" t="s">
        <v>893</v>
      </c>
      <c r="D89" s="38" t="s">
        <v>900</v>
      </c>
      <c r="E89" s="38" t="s">
        <v>902</v>
      </c>
      <c r="F89" s="70">
        <v>1.6</v>
      </c>
      <c r="G89" s="70">
        <v>6.1</v>
      </c>
      <c r="H89" s="70">
        <v>1.7</v>
      </c>
      <c r="I89" s="70">
        <v>1.7</v>
      </c>
      <c r="J89" s="40">
        <v>2100</v>
      </c>
      <c r="K89" s="38" t="str">
        <f t="shared" si="2"/>
        <v>A:1,60 x C:6,10 x L:1,70-1,70 x P:2.100kg</v>
      </c>
      <c r="N89" s="38" t="str">
        <f t="shared" si="3"/>
        <v>051836272</v>
      </c>
      <c r="O89" s="43">
        <v>51836272000167</v>
      </c>
      <c r="P89" s="38" t="s">
        <v>458</v>
      </c>
      <c r="Q89" s="38" t="s">
        <v>459</v>
      </c>
      <c r="R89" s="38" t="s">
        <v>392</v>
      </c>
    </row>
    <row r="90" spans="1:18" x14ac:dyDescent="0.3">
      <c r="A90" s="38">
        <v>3</v>
      </c>
      <c r="B90" s="38" t="s">
        <v>830</v>
      </c>
      <c r="C90" s="38" t="s">
        <v>864</v>
      </c>
      <c r="D90" s="38" t="s">
        <v>903</v>
      </c>
      <c r="E90" s="38" t="s">
        <v>904</v>
      </c>
      <c r="F90" s="70">
        <v>1.6</v>
      </c>
      <c r="G90" s="70">
        <v>6.71</v>
      </c>
      <c r="H90" s="70">
        <v>1.8</v>
      </c>
      <c r="I90" s="70">
        <v>1.8</v>
      </c>
      <c r="J90" s="40">
        <v>2300</v>
      </c>
      <c r="K90" s="38" t="str">
        <f t="shared" si="2"/>
        <v>A:1,60 x C:6,71 x L:1,80-1,80 x P:2.300kg</v>
      </c>
      <c r="N90" s="38" t="str">
        <f t="shared" si="3"/>
        <v>052184344</v>
      </c>
      <c r="O90" s="43">
        <v>52184344000100</v>
      </c>
      <c r="P90" s="38" t="s">
        <v>460</v>
      </c>
      <c r="Q90" s="38" t="s">
        <v>461</v>
      </c>
      <c r="R90" s="38" t="s">
        <v>450</v>
      </c>
    </row>
    <row r="91" spans="1:18" x14ac:dyDescent="0.3">
      <c r="A91" s="38">
        <v>3</v>
      </c>
      <c r="B91" s="38" t="s">
        <v>830</v>
      </c>
      <c r="C91" s="38" t="s">
        <v>893</v>
      </c>
      <c r="D91" s="38" t="s">
        <v>903</v>
      </c>
      <c r="E91" s="38" t="s">
        <v>905</v>
      </c>
      <c r="F91" s="70">
        <v>1.6</v>
      </c>
      <c r="G91" s="70">
        <v>6.71</v>
      </c>
      <c r="H91" s="70">
        <v>1.7</v>
      </c>
      <c r="I91" s="70">
        <v>1.7</v>
      </c>
      <c r="J91" s="40">
        <v>2250</v>
      </c>
      <c r="K91" s="38" t="str">
        <f t="shared" si="2"/>
        <v>A:1,60 x C:6,71 x L:1,70-1,70 x P:2.250kg</v>
      </c>
      <c r="N91" s="38" t="str">
        <f t="shared" si="3"/>
        <v>046406936</v>
      </c>
      <c r="O91" s="43">
        <v>46406936000118</v>
      </c>
      <c r="P91" s="38" t="s">
        <v>462</v>
      </c>
      <c r="Q91" s="38" t="s">
        <v>463</v>
      </c>
      <c r="R91" s="38" t="s">
        <v>450</v>
      </c>
    </row>
    <row r="92" spans="1:18" x14ac:dyDescent="0.3">
      <c r="A92" s="38">
        <v>3</v>
      </c>
      <c r="B92" s="38" t="s">
        <v>830</v>
      </c>
      <c r="C92" s="38" t="s">
        <v>864</v>
      </c>
      <c r="D92" s="38" t="s">
        <v>906</v>
      </c>
      <c r="E92" s="38" t="s">
        <v>907</v>
      </c>
      <c r="F92" s="70">
        <v>1.5</v>
      </c>
      <c r="G92" s="70">
        <v>12</v>
      </c>
      <c r="H92" s="70">
        <v>1.9</v>
      </c>
      <c r="I92" s="70">
        <v>1.9</v>
      </c>
      <c r="J92" s="40">
        <v>5520</v>
      </c>
      <c r="K92" s="38" t="str">
        <f t="shared" si="2"/>
        <v>A:1,50 x C:12,00 x L:1,90-1,90 x P:5.520kg</v>
      </c>
      <c r="N92" s="38" t="str">
        <f t="shared" si="3"/>
        <v>036949062</v>
      </c>
      <c r="O92" s="43">
        <v>36949062000191</v>
      </c>
      <c r="P92" s="38" t="s">
        <v>464</v>
      </c>
      <c r="Q92" s="38" t="s">
        <v>465</v>
      </c>
      <c r="R92" s="38" t="s">
        <v>430</v>
      </c>
    </row>
    <row r="93" spans="1:18" x14ac:dyDescent="0.3">
      <c r="A93" s="38">
        <v>3</v>
      </c>
      <c r="B93" s="38" t="s">
        <v>830</v>
      </c>
      <c r="C93" s="38" t="s">
        <v>891</v>
      </c>
      <c r="D93" s="38" t="s">
        <v>908</v>
      </c>
      <c r="E93" s="38" t="s">
        <v>909</v>
      </c>
      <c r="F93" s="70">
        <v>1.6</v>
      </c>
      <c r="G93" s="70">
        <v>7.62</v>
      </c>
      <c r="H93" s="70">
        <v>1.8</v>
      </c>
      <c r="I93" s="70">
        <v>1.8</v>
      </c>
      <c r="J93" s="40">
        <v>2333</v>
      </c>
      <c r="K93" s="38" t="str">
        <f t="shared" si="2"/>
        <v>A:1,60 x C:7,62 x L:1,80-1,80 x P:2.333kg</v>
      </c>
      <c r="N93" s="38" t="str">
        <f t="shared" si="3"/>
        <v>041772779</v>
      </c>
      <c r="O93" s="43">
        <v>41772779000140</v>
      </c>
      <c r="P93" s="38" t="s">
        <v>466</v>
      </c>
      <c r="Q93" s="38" t="s">
        <v>467</v>
      </c>
      <c r="R93" s="38" t="s">
        <v>430</v>
      </c>
    </row>
    <row r="94" spans="1:18" x14ac:dyDescent="0.3">
      <c r="A94" s="38">
        <v>3</v>
      </c>
      <c r="B94" s="38" t="s">
        <v>830</v>
      </c>
      <c r="C94" s="38" t="s">
        <v>864</v>
      </c>
      <c r="D94" s="38" t="s">
        <v>910</v>
      </c>
      <c r="E94" s="38" t="s">
        <v>911</v>
      </c>
      <c r="F94" s="70">
        <v>1.5</v>
      </c>
      <c r="G94" s="70">
        <v>12.15</v>
      </c>
      <c r="H94" s="70">
        <v>1.9</v>
      </c>
      <c r="I94" s="70">
        <v>1.9</v>
      </c>
      <c r="J94" s="40">
        <v>6210</v>
      </c>
      <c r="K94" s="38" t="str">
        <f t="shared" si="2"/>
        <v>A:1,50 x C:12,15 x L:1,90-1,90 x P:6.210kg</v>
      </c>
      <c r="N94" s="38" t="str">
        <f t="shared" si="3"/>
        <v>028829399</v>
      </c>
      <c r="O94" s="43">
        <v>28829399000137</v>
      </c>
      <c r="P94" s="38" t="s">
        <v>468</v>
      </c>
      <c r="Q94" s="38" t="s">
        <v>469</v>
      </c>
      <c r="R94" s="38" t="s">
        <v>401</v>
      </c>
    </row>
    <row r="95" spans="1:18" x14ac:dyDescent="0.3">
      <c r="A95" s="38">
        <v>3</v>
      </c>
      <c r="B95" s="38" t="s">
        <v>830</v>
      </c>
      <c r="C95" s="38" t="s">
        <v>891</v>
      </c>
      <c r="D95" s="38" t="s">
        <v>912</v>
      </c>
      <c r="E95" s="38" t="s">
        <v>913</v>
      </c>
      <c r="F95" s="70">
        <v>1.6</v>
      </c>
      <c r="G95" s="70">
        <v>9.14</v>
      </c>
      <c r="H95" s="70">
        <v>1.8</v>
      </c>
      <c r="I95" s="70">
        <v>1.8</v>
      </c>
      <c r="J95" s="40">
        <v>2871</v>
      </c>
      <c r="K95" s="38" t="str">
        <f t="shared" si="2"/>
        <v>A:1,60 x C:9,14 x L:1,80-1,80 x P:2.871kg</v>
      </c>
      <c r="N95" s="38" t="str">
        <f t="shared" si="3"/>
        <v>020060680</v>
      </c>
      <c r="O95" s="43">
        <v>20060680000146</v>
      </c>
      <c r="P95" s="38" t="s">
        <v>470</v>
      </c>
      <c r="Q95" s="38" t="s">
        <v>471</v>
      </c>
      <c r="R95" s="38" t="s">
        <v>343</v>
      </c>
    </row>
    <row r="96" spans="1:18" x14ac:dyDescent="0.3">
      <c r="A96" s="38">
        <v>3</v>
      </c>
      <c r="B96" s="38" t="s">
        <v>830</v>
      </c>
      <c r="C96" s="38" t="s">
        <v>891</v>
      </c>
      <c r="D96" s="38" t="s">
        <v>914</v>
      </c>
      <c r="E96" s="38" t="s">
        <v>915</v>
      </c>
      <c r="F96" s="70">
        <v>1.6</v>
      </c>
      <c r="G96" s="70">
        <v>10.67</v>
      </c>
      <c r="H96" s="70">
        <v>1.8</v>
      </c>
      <c r="I96" s="70">
        <v>1.8</v>
      </c>
      <c r="J96" s="40">
        <v>3300</v>
      </c>
      <c r="K96" s="38" t="str">
        <f t="shared" si="2"/>
        <v>A:1,60 x C:10,67 x L:1,80-1,80 x P:3.300kg</v>
      </c>
      <c r="N96" s="38" t="str">
        <f t="shared" si="3"/>
        <v>049138592</v>
      </c>
      <c r="O96" s="43">
        <v>49138592000100</v>
      </c>
      <c r="P96" s="38" t="s">
        <v>472</v>
      </c>
      <c r="Q96" s="38" t="s">
        <v>214</v>
      </c>
      <c r="R96" s="38" t="s">
        <v>322</v>
      </c>
    </row>
    <row r="97" spans="1:18" x14ac:dyDescent="0.3">
      <c r="A97" s="38">
        <v>3</v>
      </c>
      <c r="B97" s="38" t="s">
        <v>830</v>
      </c>
      <c r="C97" s="38" t="s">
        <v>916</v>
      </c>
      <c r="D97" s="38" t="s">
        <v>917</v>
      </c>
      <c r="E97" s="38" t="s">
        <v>918</v>
      </c>
      <c r="F97" s="70">
        <v>1.6</v>
      </c>
      <c r="G97" s="70">
        <v>10.27</v>
      </c>
      <c r="H97" s="70">
        <v>2.7</v>
      </c>
      <c r="I97" s="70">
        <v>2.7</v>
      </c>
      <c r="J97" s="40">
        <v>3200</v>
      </c>
      <c r="K97" s="38" t="str">
        <f t="shared" si="2"/>
        <v>A:1,60 x C:10,27 x L:2,70-2,70 x P:3.200kg</v>
      </c>
      <c r="N97" s="38" t="str">
        <f t="shared" si="3"/>
        <v>017726086</v>
      </c>
      <c r="O97" s="43">
        <v>17726086000137</v>
      </c>
      <c r="P97" s="38" t="s">
        <v>473</v>
      </c>
      <c r="Q97" s="38" t="s">
        <v>474</v>
      </c>
      <c r="R97" s="38" t="s">
        <v>475</v>
      </c>
    </row>
    <row r="98" spans="1:18" x14ac:dyDescent="0.3">
      <c r="A98" s="38">
        <v>3</v>
      </c>
      <c r="B98" s="38" t="s">
        <v>830</v>
      </c>
      <c r="C98" s="38" t="s">
        <v>916</v>
      </c>
      <c r="D98" s="38" t="s">
        <v>919</v>
      </c>
      <c r="E98" s="38" t="s">
        <v>920</v>
      </c>
      <c r="F98" s="70">
        <v>1.6</v>
      </c>
      <c r="G98" s="70">
        <v>11.79</v>
      </c>
      <c r="H98" s="70">
        <v>2.7</v>
      </c>
      <c r="I98" s="70">
        <v>2.7</v>
      </c>
      <c r="J98" s="40">
        <v>3646</v>
      </c>
      <c r="K98" s="38" t="str">
        <f t="shared" si="2"/>
        <v>A:1,60 x C:11,79 x L:2,70-2,70 x P:3.646kg</v>
      </c>
      <c r="N98" s="38" t="str">
        <f t="shared" si="3"/>
        <v>037205228</v>
      </c>
      <c r="O98" s="43">
        <v>37205228000128</v>
      </c>
      <c r="P98" s="38" t="s">
        <v>476</v>
      </c>
      <c r="Q98" s="38" t="s">
        <v>477</v>
      </c>
      <c r="R98" s="38" t="s">
        <v>359</v>
      </c>
    </row>
    <row r="99" spans="1:18" x14ac:dyDescent="0.3">
      <c r="A99" s="38">
        <v>3</v>
      </c>
      <c r="B99" s="38" t="s">
        <v>830</v>
      </c>
      <c r="C99" s="38" t="s">
        <v>916</v>
      </c>
      <c r="D99" s="38" t="s">
        <v>921</v>
      </c>
      <c r="E99" s="38" t="s">
        <v>922</v>
      </c>
      <c r="F99" s="70">
        <v>1.6</v>
      </c>
      <c r="G99" s="70">
        <v>13.32</v>
      </c>
      <c r="H99" s="70">
        <v>2.7</v>
      </c>
      <c r="I99" s="70">
        <v>2.7</v>
      </c>
      <c r="J99" s="40">
        <v>4055</v>
      </c>
      <c r="K99" s="38" t="str">
        <f t="shared" si="2"/>
        <v>A:1,60 x C:13,32 x L:2,70-2,70 x P:4.055kg</v>
      </c>
      <c r="N99" s="38" t="str">
        <f t="shared" si="3"/>
        <v>034154225</v>
      </c>
      <c r="O99" s="43">
        <v>34154225000114</v>
      </c>
      <c r="P99" s="38" t="s">
        <v>478</v>
      </c>
      <c r="Q99" s="38" t="s">
        <v>230</v>
      </c>
      <c r="R99" s="38" t="s">
        <v>392</v>
      </c>
    </row>
    <row r="100" spans="1:18" x14ac:dyDescent="0.3">
      <c r="A100" s="38">
        <v>3</v>
      </c>
      <c r="B100" s="38" t="s">
        <v>830</v>
      </c>
      <c r="C100" s="38" t="s">
        <v>916</v>
      </c>
      <c r="D100" s="38" t="s">
        <v>923</v>
      </c>
      <c r="E100" s="38" t="s">
        <v>924</v>
      </c>
      <c r="F100" s="70">
        <v>1.6</v>
      </c>
      <c r="G100" s="70">
        <v>14.75</v>
      </c>
      <c r="H100" s="70">
        <v>2.7</v>
      </c>
      <c r="I100" s="70">
        <v>2.7</v>
      </c>
      <c r="J100" s="40">
        <v>4420</v>
      </c>
      <c r="K100" s="38" t="str">
        <f t="shared" si="2"/>
        <v>A:1,60 x C:14,75 x L:2,70-2,70 x P:4.420kg</v>
      </c>
      <c r="N100" s="38" t="str">
        <f t="shared" si="3"/>
        <v>027170024</v>
      </c>
      <c r="O100" s="43">
        <v>27170024000145</v>
      </c>
      <c r="P100" s="38" t="s">
        <v>479</v>
      </c>
      <c r="Q100" s="38" t="s">
        <v>480</v>
      </c>
      <c r="R100" s="38" t="s">
        <v>481</v>
      </c>
    </row>
    <row r="101" spans="1:18" x14ac:dyDescent="0.3">
      <c r="A101" s="38">
        <v>3</v>
      </c>
      <c r="B101" s="38" t="s">
        <v>830</v>
      </c>
      <c r="C101" s="38" t="s">
        <v>831</v>
      </c>
      <c r="D101" s="38" t="s">
        <v>925</v>
      </c>
      <c r="E101" s="38" t="s">
        <v>926</v>
      </c>
      <c r="F101" s="70">
        <v>1.5</v>
      </c>
      <c r="G101" s="70">
        <v>4</v>
      </c>
      <c r="H101" s="70">
        <v>1.9</v>
      </c>
      <c r="I101" s="70">
        <v>1.9</v>
      </c>
      <c r="J101" s="40">
        <v>1600</v>
      </c>
      <c r="K101" s="38" t="str">
        <f t="shared" si="2"/>
        <v>A:1,50 x C:4,00 x L:1,90-1,90 x P:1.600kg</v>
      </c>
      <c r="N101" s="38" t="str">
        <f t="shared" si="3"/>
        <v>029084883</v>
      </c>
      <c r="O101" s="43">
        <v>29084883000147</v>
      </c>
      <c r="P101" s="38" t="s">
        <v>482</v>
      </c>
      <c r="Q101" s="38" t="s">
        <v>483</v>
      </c>
      <c r="R101" s="38" t="s">
        <v>359</v>
      </c>
    </row>
    <row r="102" spans="1:18" x14ac:dyDescent="0.3">
      <c r="A102" s="38">
        <v>3</v>
      </c>
      <c r="B102" s="38" t="s">
        <v>830</v>
      </c>
      <c r="C102" s="38" t="s">
        <v>831</v>
      </c>
      <c r="D102" s="38" t="s">
        <v>927</v>
      </c>
      <c r="E102" s="38" t="s">
        <v>928</v>
      </c>
      <c r="F102" s="70">
        <v>1.5</v>
      </c>
      <c r="G102" s="70">
        <v>4.5</v>
      </c>
      <c r="H102" s="70">
        <v>1.9</v>
      </c>
      <c r="I102" s="70">
        <v>1.9</v>
      </c>
      <c r="J102" s="40">
        <v>1800</v>
      </c>
      <c r="K102" s="38" t="str">
        <f t="shared" si="2"/>
        <v>A:1,50 x C:4,50 x L:1,90-1,90 x P:1.800kg</v>
      </c>
      <c r="N102" s="38" t="str">
        <f t="shared" si="3"/>
        <v>059376166</v>
      </c>
      <c r="O102" s="43">
        <v>59376166000150</v>
      </c>
      <c r="P102" s="38" t="s">
        <v>484</v>
      </c>
      <c r="Q102" s="38" t="s">
        <v>485</v>
      </c>
      <c r="R102" s="38" t="s">
        <v>343</v>
      </c>
    </row>
    <row r="103" spans="1:18" x14ac:dyDescent="0.3">
      <c r="A103" s="38">
        <v>3</v>
      </c>
      <c r="B103" s="38" t="s">
        <v>830</v>
      </c>
      <c r="C103" s="38" t="s">
        <v>929</v>
      </c>
      <c r="D103" s="38" t="s">
        <v>930</v>
      </c>
      <c r="E103" s="38" t="s">
        <v>931</v>
      </c>
      <c r="F103" s="70">
        <v>1.6</v>
      </c>
      <c r="G103" s="70">
        <v>15.3</v>
      </c>
      <c r="H103" s="70">
        <v>2.9</v>
      </c>
      <c r="I103" s="70">
        <v>2.9</v>
      </c>
      <c r="J103" s="40">
        <v>5200</v>
      </c>
      <c r="K103" s="38" t="str">
        <f t="shared" si="2"/>
        <v>A:1,60 x C:15,30 x L:2,90-2,90 x P:5.200kg</v>
      </c>
      <c r="N103" s="38" t="str">
        <f t="shared" si="3"/>
        <v>011374806</v>
      </c>
      <c r="O103" s="43">
        <v>11374806000166</v>
      </c>
      <c r="P103" s="38" t="s">
        <v>486</v>
      </c>
      <c r="Q103" s="38" t="s">
        <v>487</v>
      </c>
      <c r="R103" s="38" t="s">
        <v>343</v>
      </c>
    </row>
    <row r="104" spans="1:18" x14ac:dyDescent="0.3">
      <c r="A104" s="38">
        <v>3</v>
      </c>
      <c r="B104" s="38" t="s">
        <v>830</v>
      </c>
      <c r="C104" s="38" t="s">
        <v>929</v>
      </c>
      <c r="D104" s="38" t="s">
        <v>932</v>
      </c>
      <c r="E104" s="38" t="s">
        <v>932</v>
      </c>
      <c r="F104" s="70">
        <v>1.6</v>
      </c>
      <c r="G104" s="70">
        <v>9.14</v>
      </c>
      <c r="H104" s="70">
        <v>1.8</v>
      </c>
      <c r="I104" s="70">
        <v>1.8</v>
      </c>
      <c r="J104" s="40">
        <v>2900</v>
      </c>
      <c r="K104" s="38" t="str">
        <f t="shared" si="2"/>
        <v>A:1,60 x C:9,14 x L:1,80-1,80 x P:2.900kg</v>
      </c>
      <c r="N104" s="38" t="str">
        <f t="shared" si="3"/>
        <v>047462365</v>
      </c>
      <c r="O104" s="43">
        <v>47462365000100</v>
      </c>
      <c r="P104" s="38" t="s">
        <v>488</v>
      </c>
      <c r="Q104" s="38" t="s">
        <v>489</v>
      </c>
      <c r="R104" s="38" t="s">
        <v>343</v>
      </c>
    </row>
    <row r="105" spans="1:18" x14ac:dyDescent="0.3">
      <c r="A105" s="38">
        <v>3</v>
      </c>
      <c r="B105" s="38" t="s">
        <v>830</v>
      </c>
      <c r="C105" s="38" t="s">
        <v>933</v>
      </c>
      <c r="D105" s="38" t="s">
        <v>934</v>
      </c>
      <c r="E105" s="38" t="s">
        <v>934</v>
      </c>
      <c r="F105" s="70">
        <v>1.6</v>
      </c>
      <c r="G105" s="70">
        <v>9.14</v>
      </c>
      <c r="H105" s="70">
        <v>2.2000000000000002</v>
      </c>
      <c r="I105" s="70">
        <v>2.2000000000000002</v>
      </c>
      <c r="J105" s="40">
        <v>4200</v>
      </c>
      <c r="K105" s="38" t="str">
        <f t="shared" si="2"/>
        <v>A:1,60 x C:9,14 x L:2,20-2,20 x P:4.200kg</v>
      </c>
      <c r="N105" s="38" t="str">
        <f t="shared" si="3"/>
        <v>054337699</v>
      </c>
      <c r="O105" s="43">
        <v>54337699000109</v>
      </c>
      <c r="P105" s="38" t="s">
        <v>490</v>
      </c>
      <c r="Q105" s="38" t="s">
        <v>491</v>
      </c>
      <c r="R105" s="38" t="s">
        <v>392</v>
      </c>
    </row>
    <row r="106" spans="1:18" x14ac:dyDescent="0.3">
      <c r="A106" s="38">
        <v>3</v>
      </c>
      <c r="B106" s="38" t="s">
        <v>830</v>
      </c>
      <c r="C106" s="38" t="s">
        <v>933</v>
      </c>
      <c r="D106" s="38" t="s">
        <v>935</v>
      </c>
      <c r="E106" s="38" t="s">
        <v>935</v>
      </c>
      <c r="F106" s="70">
        <v>1.6</v>
      </c>
      <c r="G106" s="70">
        <v>10.67</v>
      </c>
      <c r="H106" s="70">
        <v>2.2000000000000002</v>
      </c>
      <c r="I106" s="70">
        <v>2.2000000000000002</v>
      </c>
      <c r="J106" s="40">
        <v>5000</v>
      </c>
      <c r="K106" s="38" t="str">
        <f t="shared" si="2"/>
        <v>A:1,60 x C:10,67 x L:2,20-2,20 x P:5.000kg</v>
      </c>
      <c r="N106" s="38" t="str">
        <f t="shared" si="3"/>
        <v>020131578</v>
      </c>
      <c r="O106" s="43">
        <v>20131578000194</v>
      </c>
      <c r="P106" s="38" t="s">
        <v>492</v>
      </c>
      <c r="Q106" s="38" t="s">
        <v>493</v>
      </c>
      <c r="R106" s="38" t="s">
        <v>475</v>
      </c>
    </row>
    <row r="107" spans="1:18" x14ac:dyDescent="0.3">
      <c r="A107" s="38">
        <v>4</v>
      </c>
      <c r="B107" s="38" t="s">
        <v>936</v>
      </c>
      <c r="C107" s="38" t="s">
        <v>937</v>
      </c>
      <c r="D107" s="38" t="s">
        <v>938</v>
      </c>
      <c r="E107" s="38" t="s">
        <v>938</v>
      </c>
      <c r="F107" s="70">
        <v>2.4</v>
      </c>
      <c r="G107" s="70">
        <v>3</v>
      </c>
      <c r="H107" s="70">
        <v>3.6</v>
      </c>
      <c r="I107" s="70">
        <v>3.6</v>
      </c>
      <c r="J107" s="40">
        <v>3415</v>
      </c>
      <c r="K107" s="38" t="str">
        <f t="shared" si="2"/>
        <v>A:2,40 x C:3,00 x L:3,60-3,60 x P:3.415kg</v>
      </c>
      <c r="N107" s="38" t="str">
        <f t="shared" si="3"/>
        <v>051496564</v>
      </c>
      <c r="O107" s="43">
        <v>51496564000106</v>
      </c>
      <c r="P107" s="38" t="s">
        <v>494</v>
      </c>
      <c r="Q107" s="38" t="s">
        <v>250</v>
      </c>
      <c r="R107" s="38" t="s">
        <v>430</v>
      </c>
    </row>
    <row r="108" spans="1:18" x14ac:dyDescent="0.3">
      <c r="A108" s="38">
        <v>4</v>
      </c>
      <c r="B108" s="38" t="s">
        <v>936</v>
      </c>
      <c r="C108" s="38" t="s">
        <v>937</v>
      </c>
      <c r="D108" s="38" t="s">
        <v>939</v>
      </c>
      <c r="E108" s="38" t="s">
        <v>939</v>
      </c>
      <c r="F108" s="70">
        <v>2.4</v>
      </c>
      <c r="G108" s="70">
        <v>3</v>
      </c>
      <c r="H108" s="70">
        <v>4.3</v>
      </c>
      <c r="I108" s="70">
        <v>4.3</v>
      </c>
      <c r="J108" s="40">
        <v>4210</v>
      </c>
      <c r="K108" s="38" t="str">
        <f t="shared" si="2"/>
        <v>A:2,40 x C:3,00 x L:4,30-4,30 x P:4.210kg</v>
      </c>
      <c r="N108" s="38" t="str">
        <f t="shared" si="3"/>
        <v>037676492</v>
      </c>
      <c r="O108" s="43">
        <v>37676492000140</v>
      </c>
      <c r="P108" s="38" t="s">
        <v>495</v>
      </c>
      <c r="Q108" s="38" t="s">
        <v>496</v>
      </c>
      <c r="R108" s="38" t="s">
        <v>497</v>
      </c>
    </row>
    <row r="109" spans="1:18" x14ac:dyDescent="0.3">
      <c r="A109" s="38">
        <v>4</v>
      </c>
      <c r="B109" s="38" t="s">
        <v>936</v>
      </c>
      <c r="C109" s="38" t="s">
        <v>937</v>
      </c>
      <c r="D109" s="38" t="s">
        <v>940</v>
      </c>
      <c r="E109" s="38" t="s">
        <v>940</v>
      </c>
      <c r="F109" s="70">
        <v>2.4</v>
      </c>
      <c r="G109" s="70">
        <v>3</v>
      </c>
      <c r="H109" s="70">
        <v>5.2</v>
      </c>
      <c r="I109" s="70">
        <v>5.2</v>
      </c>
      <c r="J109" s="40">
        <v>4940</v>
      </c>
      <c r="K109" s="38" t="str">
        <f t="shared" si="2"/>
        <v>A:2,40 x C:3,00 x L:5,20-5,20 x P:4.940kg</v>
      </c>
      <c r="N109" s="38" t="str">
        <f t="shared" si="3"/>
        <v>051859432</v>
      </c>
      <c r="O109" s="43">
        <v>51859432000193</v>
      </c>
      <c r="P109" s="38" t="s">
        <v>498</v>
      </c>
      <c r="Q109" s="38" t="s">
        <v>499</v>
      </c>
      <c r="R109" s="38" t="s">
        <v>500</v>
      </c>
    </row>
    <row r="110" spans="1:18" x14ac:dyDescent="0.3">
      <c r="A110" s="38">
        <v>4</v>
      </c>
      <c r="B110" s="38" t="s">
        <v>936</v>
      </c>
      <c r="C110" s="38" t="s">
        <v>937</v>
      </c>
      <c r="D110" s="38" t="s">
        <v>941</v>
      </c>
      <c r="E110" s="38" t="s">
        <v>941</v>
      </c>
      <c r="F110" s="70">
        <v>2.4</v>
      </c>
      <c r="G110" s="70">
        <v>3</v>
      </c>
      <c r="H110" s="70">
        <v>6.2</v>
      </c>
      <c r="I110" s="70">
        <v>6.2</v>
      </c>
      <c r="J110" s="40">
        <v>5625</v>
      </c>
      <c r="K110" s="38" t="str">
        <f t="shared" si="2"/>
        <v>A:2,40 x C:3,00 x L:6,20-6,20 x P:5.625kg</v>
      </c>
      <c r="N110" s="38" t="str">
        <f t="shared" si="3"/>
        <v>004799973</v>
      </c>
      <c r="O110" s="43">
        <v>4799973000193</v>
      </c>
      <c r="P110" s="38" t="s">
        <v>501</v>
      </c>
      <c r="Q110" s="38" t="s">
        <v>502</v>
      </c>
      <c r="R110" s="38" t="s">
        <v>503</v>
      </c>
    </row>
    <row r="111" spans="1:18" x14ac:dyDescent="0.3">
      <c r="A111" s="38">
        <v>4</v>
      </c>
      <c r="B111" s="38" t="s">
        <v>936</v>
      </c>
      <c r="C111" s="38" t="s">
        <v>937</v>
      </c>
      <c r="D111" s="38" t="s">
        <v>942</v>
      </c>
      <c r="E111" s="38" t="s">
        <v>942</v>
      </c>
      <c r="F111" s="70">
        <v>2.4500000000000002</v>
      </c>
      <c r="G111" s="70">
        <v>4.0999999999999996</v>
      </c>
      <c r="H111" s="70">
        <v>3.2</v>
      </c>
      <c r="I111" s="70">
        <v>3.2</v>
      </c>
      <c r="J111" s="40">
        <v>3760</v>
      </c>
      <c r="K111" s="38" t="str">
        <f t="shared" si="2"/>
        <v>A:2,45 x C:4,10 x L:3,20-3,20 x P:3.760kg</v>
      </c>
      <c r="N111" s="38" t="str">
        <f t="shared" si="3"/>
        <v>002453308</v>
      </c>
      <c r="O111" s="43">
        <v>2453308000118</v>
      </c>
      <c r="P111" s="38" t="s">
        <v>504</v>
      </c>
      <c r="Q111" s="38" t="s">
        <v>505</v>
      </c>
      <c r="R111" s="38" t="s">
        <v>305</v>
      </c>
    </row>
    <row r="112" spans="1:18" x14ac:dyDescent="0.3">
      <c r="A112" s="38">
        <v>4</v>
      </c>
      <c r="B112" s="38" t="s">
        <v>936</v>
      </c>
      <c r="C112" s="38" t="s">
        <v>937</v>
      </c>
      <c r="D112" s="38" t="s">
        <v>943</v>
      </c>
      <c r="E112" s="38" t="s">
        <v>943</v>
      </c>
      <c r="F112" s="70">
        <v>2.4500000000000002</v>
      </c>
      <c r="G112" s="70">
        <v>5</v>
      </c>
      <c r="H112" s="70">
        <v>3.2</v>
      </c>
      <c r="I112" s="70">
        <v>3.2</v>
      </c>
      <c r="J112" s="40">
        <v>4750</v>
      </c>
      <c r="K112" s="38" t="str">
        <f t="shared" si="2"/>
        <v>A:2,45 x C:5,00 x L:3,20-3,20 x P:4.750kg</v>
      </c>
      <c r="N112" s="38" t="str">
        <f t="shared" si="3"/>
        <v>012772524</v>
      </c>
      <c r="O112" s="43">
        <v>12772524000180</v>
      </c>
      <c r="P112" s="38" t="s">
        <v>506</v>
      </c>
      <c r="Q112" s="38" t="s">
        <v>260</v>
      </c>
      <c r="R112" s="38" t="s">
        <v>322</v>
      </c>
    </row>
    <row r="113" spans="1:18" x14ac:dyDescent="0.3">
      <c r="A113" s="38">
        <v>4</v>
      </c>
      <c r="B113" s="38" t="s">
        <v>936</v>
      </c>
      <c r="C113" s="38" t="s">
        <v>937</v>
      </c>
      <c r="D113" s="38" t="s">
        <v>944</v>
      </c>
      <c r="E113" s="38" t="s">
        <v>944</v>
      </c>
      <c r="F113" s="70">
        <v>2.4500000000000002</v>
      </c>
      <c r="G113" s="70">
        <v>6</v>
      </c>
      <c r="H113" s="70">
        <v>3.2</v>
      </c>
      <c r="I113" s="70">
        <v>3.2</v>
      </c>
      <c r="J113" s="40">
        <v>5190</v>
      </c>
      <c r="K113" s="38" t="str">
        <f t="shared" si="2"/>
        <v>A:2,45 x C:6,00 x L:3,20-3,20 x P:5.190kg</v>
      </c>
      <c r="N113" s="38" t="str">
        <f t="shared" si="3"/>
        <v>032752387</v>
      </c>
      <c r="O113" s="43">
        <v>32752387000129</v>
      </c>
      <c r="P113" s="38" t="s">
        <v>507</v>
      </c>
      <c r="Q113" s="38" t="s">
        <v>508</v>
      </c>
      <c r="R113" s="38" t="s">
        <v>380</v>
      </c>
    </row>
    <row r="114" spans="1:18" x14ac:dyDescent="0.3">
      <c r="A114" s="38">
        <v>4</v>
      </c>
      <c r="B114" s="38" t="s">
        <v>936</v>
      </c>
      <c r="C114" s="38" t="s">
        <v>937</v>
      </c>
      <c r="D114" s="38" t="s">
        <v>945</v>
      </c>
      <c r="E114" s="38" t="s">
        <v>945</v>
      </c>
      <c r="F114" s="70">
        <v>2.4500000000000002</v>
      </c>
      <c r="G114" s="70">
        <v>7</v>
      </c>
      <c r="H114" s="70">
        <v>3.2</v>
      </c>
      <c r="I114" s="70">
        <v>3.2</v>
      </c>
      <c r="J114" s="40">
        <v>6025</v>
      </c>
      <c r="K114" s="38" t="str">
        <f t="shared" si="2"/>
        <v>A:2,45 x C:7,00 x L:3,20-3,20 x P:6.025kg</v>
      </c>
      <c r="N114" s="38" t="str">
        <f t="shared" si="3"/>
        <v>036015029</v>
      </c>
      <c r="O114" s="43">
        <v>36015029000194</v>
      </c>
      <c r="P114" s="38" t="s">
        <v>509</v>
      </c>
      <c r="Q114" s="38" t="s">
        <v>510</v>
      </c>
      <c r="R114" s="38" t="s">
        <v>322</v>
      </c>
    </row>
    <row r="115" spans="1:18" x14ac:dyDescent="0.3">
      <c r="A115" s="38">
        <v>4</v>
      </c>
      <c r="B115" s="38" t="s">
        <v>936</v>
      </c>
      <c r="C115" s="38" t="s">
        <v>937</v>
      </c>
      <c r="D115" s="38" t="s">
        <v>946</v>
      </c>
      <c r="E115" s="38" t="s">
        <v>946</v>
      </c>
      <c r="F115" s="70">
        <v>2.5</v>
      </c>
      <c r="G115" s="70">
        <v>7.2</v>
      </c>
      <c r="H115" s="70">
        <v>4</v>
      </c>
      <c r="I115" s="70">
        <v>4</v>
      </c>
      <c r="J115" s="40">
        <v>6500</v>
      </c>
      <c r="K115" s="38" t="str">
        <f t="shared" si="2"/>
        <v>A:2,50 x C:7,20 x L:4,00-4,00 x P:6.500kg</v>
      </c>
      <c r="N115" s="38" t="str">
        <f t="shared" si="3"/>
        <v>053529331</v>
      </c>
      <c r="O115" s="43">
        <v>53529331000180</v>
      </c>
      <c r="P115" s="38" t="s">
        <v>511</v>
      </c>
      <c r="Q115" s="38" t="s">
        <v>512</v>
      </c>
      <c r="R115" s="38" t="s">
        <v>392</v>
      </c>
    </row>
    <row r="116" spans="1:18" x14ac:dyDescent="0.3">
      <c r="A116" s="38">
        <v>4</v>
      </c>
      <c r="B116" s="38" t="s">
        <v>936</v>
      </c>
      <c r="C116" s="38" t="s">
        <v>937</v>
      </c>
      <c r="D116" s="38" t="s">
        <v>947</v>
      </c>
      <c r="E116" s="38" t="s">
        <v>947</v>
      </c>
      <c r="F116" s="70">
        <v>2.5</v>
      </c>
      <c r="G116" s="70">
        <v>8</v>
      </c>
      <c r="H116" s="70">
        <v>4</v>
      </c>
      <c r="I116" s="70">
        <v>4</v>
      </c>
      <c r="J116" s="40">
        <v>7350</v>
      </c>
      <c r="K116" s="38" t="str">
        <f t="shared" si="2"/>
        <v>A:2,50 x C:8,00 x L:4,00-4,00 x P:7.350kg</v>
      </c>
      <c r="N116" s="38" t="str">
        <f t="shared" si="3"/>
        <v>051308170</v>
      </c>
      <c r="O116" s="43">
        <v>51308170000179</v>
      </c>
      <c r="P116" s="38" t="s">
        <v>513</v>
      </c>
      <c r="Q116" s="38" t="s">
        <v>514</v>
      </c>
      <c r="R116" s="38" t="s">
        <v>343</v>
      </c>
    </row>
    <row r="117" spans="1:18" x14ac:dyDescent="0.3">
      <c r="A117" s="38">
        <v>4</v>
      </c>
      <c r="B117" s="38" t="s">
        <v>936</v>
      </c>
      <c r="C117" s="38" t="s">
        <v>937</v>
      </c>
      <c r="D117" s="38" t="s">
        <v>948</v>
      </c>
      <c r="E117" s="38" t="s">
        <v>948</v>
      </c>
      <c r="F117" s="70">
        <v>2.5</v>
      </c>
      <c r="G117" s="70">
        <v>8.9</v>
      </c>
      <c r="H117" s="70">
        <v>4</v>
      </c>
      <c r="I117" s="70">
        <v>4</v>
      </c>
      <c r="J117" s="40">
        <v>8000</v>
      </c>
      <c r="K117" s="38" t="str">
        <f t="shared" si="2"/>
        <v>A:2,50 x C:8,90 x L:4,00-4,00 x P:8.000kg</v>
      </c>
      <c r="N117" s="38" t="str">
        <f t="shared" si="3"/>
        <v>030823337</v>
      </c>
      <c r="O117" s="43">
        <v>30823337000160</v>
      </c>
      <c r="P117" s="38" t="s">
        <v>515</v>
      </c>
      <c r="Q117" s="38" t="s">
        <v>516</v>
      </c>
      <c r="R117" s="38" t="s">
        <v>322</v>
      </c>
    </row>
    <row r="118" spans="1:18" x14ac:dyDescent="0.3">
      <c r="A118" s="38">
        <v>4</v>
      </c>
      <c r="B118" s="38" t="s">
        <v>936</v>
      </c>
      <c r="C118" s="38" t="s">
        <v>937</v>
      </c>
      <c r="D118" s="38" t="s">
        <v>949</v>
      </c>
      <c r="E118" s="38" t="s">
        <v>949</v>
      </c>
      <c r="F118" s="70">
        <v>2.5</v>
      </c>
      <c r="G118" s="70">
        <v>11.65</v>
      </c>
      <c r="H118" s="70">
        <v>4</v>
      </c>
      <c r="I118" s="70">
        <v>4</v>
      </c>
      <c r="J118" s="40">
        <v>13100</v>
      </c>
      <c r="K118" s="38" t="str">
        <f t="shared" si="2"/>
        <v>A:2,50 x C:11,65 x L:4,00-4,00 x P:13.100kg</v>
      </c>
      <c r="N118" s="38" t="str">
        <f t="shared" si="3"/>
        <v>018074418</v>
      </c>
      <c r="O118" s="43">
        <v>18074418000109</v>
      </c>
      <c r="P118" s="38" t="s">
        <v>517</v>
      </c>
      <c r="Q118" s="38" t="s">
        <v>518</v>
      </c>
      <c r="R118" s="38" t="s">
        <v>322</v>
      </c>
    </row>
    <row r="119" spans="1:18" x14ac:dyDescent="0.3">
      <c r="A119" s="38">
        <v>4</v>
      </c>
      <c r="B119" s="38" t="s">
        <v>936</v>
      </c>
      <c r="C119" s="38" t="s">
        <v>937</v>
      </c>
      <c r="D119" s="38" t="s">
        <v>950</v>
      </c>
      <c r="E119" s="38" t="s">
        <v>950</v>
      </c>
      <c r="F119" s="70">
        <v>2.5</v>
      </c>
      <c r="G119" s="70">
        <v>13.45</v>
      </c>
      <c r="H119" s="70">
        <v>4</v>
      </c>
      <c r="I119" s="70">
        <v>4</v>
      </c>
      <c r="J119" s="40">
        <v>14100</v>
      </c>
      <c r="K119" s="38" t="str">
        <f t="shared" si="2"/>
        <v>A:2,50 x C:13,45 x L:4,00-4,00 x P:14.100kg</v>
      </c>
      <c r="N119" s="38" t="str">
        <f t="shared" si="3"/>
        <v>031553361</v>
      </c>
      <c r="O119" s="43">
        <v>31553361000199</v>
      </c>
      <c r="P119" s="38" t="s">
        <v>519</v>
      </c>
      <c r="Q119" s="38" t="s">
        <v>520</v>
      </c>
      <c r="R119" s="38" t="s">
        <v>430</v>
      </c>
    </row>
    <row r="120" spans="1:18" x14ac:dyDescent="0.3">
      <c r="A120" s="38">
        <v>4</v>
      </c>
      <c r="B120" s="38" t="s">
        <v>936</v>
      </c>
      <c r="C120" s="38" t="s">
        <v>937</v>
      </c>
      <c r="D120" s="38" t="s">
        <v>951</v>
      </c>
      <c r="E120" s="38" t="s">
        <v>951</v>
      </c>
      <c r="F120" s="70">
        <v>2.5</v>
      </c>
      <c r="G120" s="70">
        <v>14.35</v>
      </c>
      <c r="H120" s="70">
        <v>4</v>
      </c>
      <c r="I120" s="70">
        <v>4</v>
      </c>
      <c r="J120" s="40">
        <v>14950</v>
      </c>
      <c r="K120" s="38" t="str">
        <f t="shared" si="2"/>
        <v>A:2,50 x C:14,35 x L:4,00-4,00 x P:14.950kg</v>
      </c>
      <c r="N120" s="38" t="str">
        <f t="shared" si="3"/>
        <v>030877442</v>
      </c>
      <c r="O120" s="43">
        <v>30877442000181</v>
      </c>
      <c r="P120" s="38" t="s">
        <v>521</v>
      </c>
      <c r="Q120" s="38" t="s">
        <v>522</v>
      </c>
      <c r="R120" s="38" t="s">
        <v>359</v>
      </c>
    </row>
    <row r="121" spans="1:18" x14ac:dyDescent="0.3">
      <c r="A121" s="38">
        <v>4</v>
      </c>
      <c r="B121" s="38" t="s">
        <v>936</v>
      </c>
      <c r="C121" s="38" t="s">
        <v>937</v>
      </c>
      <c r="D121" s="38" t="s">
        <v>952</v>
      </c>
      <c r="E121" s="38" t="s">
        <v>952</v>
      </c>
      <c r="F121" s="70">
        <v>2.5</v>
      </c>
      <c r="G121" s="70">
        <v>15.55</v>
      </c>
      <c r="H121" s="70">
        <v>4</v>
      </c>
      <c r="I121" s="70">
        <v>4</v>
      </c>
      <c r="J121" s="40">
        <v>16800</v>
      </c>
      <c r="K121" s="38" t="str">
        <f t="shared" si="2"/>
        <v>A:2,50 x C:15,55 x L:4,00-4,00 x P:16.800kg</v>
      </c>
      <c r="N121" s="38" t="str">
        <f t="shared" si="3"/>
        <v>024586169</v>
      </c>
      <c r="O121" s="43">
        <v>24586169000133</v>
      </c>
      <c r="P121" s="38" t="s">
        <v>523</v>
      </c>
      <c r="Q121" s="38" t="s">
        <v>524</v>
      </c>
      <c r="R121" s="38" t="s">
        <v>430</v>
      </c>
    </row>
    <row r="122" spans="1:18" x14ac:dyDescent="0.3">
      <c r="A122" s="38">
        <v>4</v>
      </c>
      <c r="B122" s="38" t="s">
        <v>936</v>
      </c>
      <c r="C122" s="38" t="s">
        <v>937</v>
      </c>
      <c r="D122" s="38" t="s">
        <v>953</v>
      </c>
      <c r="E122" s="38" t="s">
        <v>953</v>
      </c>
      <c r="F122" s="70">
        <v>3.7</v>
      </c>
      <c r="G122" s="70">
        <v>12.5</v>
      </c>
      <c r="H122" s="70">
        <v>6.2</v>
      </c>
      <c r="I122" s="70">
        <v>6.2</v>
      </c>
      <c r="J122" s="40">
        <v>14144</v>
      </c>
      <c r="K122" s="38" t="str">
        <f t="shared" si="2"/>
        <v>A:3,70 x C:12,50 x L:6,20-6,20 x P:14.144kg</v>
      </c>
      <c r="N122" s="38" t="str">
        <f t="shared" si="3"/>
        <v>058145329</v>
      </c>
      <c r="O122" s="43">
        <v>58145329000120</v>
      </c>
      <c r="P122" s="38" t="s">
        <v>525</v>
      </c>
      <c r="Q122" s="38" t="s">
        <v>526</v>
      </c>
      <c r="R122" s="38" t="s">
        <v>430</v>
      </c>
    </row>
    <row r="123" spans="1:18" x14ac:dyDescent="0.3">
      <c r="A123" s="38">
        <v>4</v>
      </c>
      <c r="B123" s="38" t="s">
        <v>936</v>
      </c>
      <c r="C123" s="38" t="s">
        <v>937</v>
      </c>
      <c r="D123" s="38" t="s">
        <v>954</v>
      </c>
      <c r="E123" s="38" t="s">
        <v>954</v>
      </c>
      <c r="F123" s="70">
        <v>3.7</v>
      </c>
      <c r="G123" s="70">
        <v>12.5</v>
      </c>
      <c r="H123" s="70">
        <v>6.2</v>
      </c>
      <c r="I123" s="70">
        <v>6.2</v>
      </c>
      <c r="J123" s="40">
        <v>15980</v>
      </c>
      <c r="K123" s="38" t="str">
        <f t="shared" si="2"/>
        <v>A:3,70 x C:12,50 x L:6,20-6,20 x P:15.980kg</v>
      </c>
      <c r="N123" s="38" t="str">
        <f t="shared" si="3"/>
        <v>078706751</v>
      </c>
      <c r="O123" s="43">
        <v>78706751000891</v>
      </c>
      <c r="P123" s="38" t="s">
        <v>527</v>
      </c>
      <c r="Q123" s="38" t="s">
        <v>383</v>
      </c>
      <c r="R123" s="38" t="s">
        <v>354</v>
      </c>
    </row>
    <row r="124" spans="1:18" x14ac:dyDescent="0.3">
      <c r="A124" s="38">
        <v>4</v>
      </c>
      <c r="B124" s="38" t="s">
        <v>936</v>
      </c>
      <c r="C124" s="38" t="s">
        <v>937</v>
      </c>
      <c r="D124" s="38" t="s">
        <v>955</v>
      </c>
      <c r="E124" s="38" t="s">
        <v>955</v>
      </c>
      <c r="F124" s="70">
        <v>3.7</v>
      </c>
      <c r="G124" s="70">
        <v>16.2</v>
      </c>
      <c r="H124" s="70">
        <v>6.2</v>
      </c>
      <c r="I124" s="70">
        <v>6.2</v>
      </c>
      <c r="J124" s="40">
        <v>21279</v>
      </c>
      <c r="K124" s="38" t="str">
        <f t="shared" si="2"/>
        <v>A:3,70 x C:16,20 x L:6,20-6,20 x P:21.279kg</v>
      </c>
      <c r="N124" s="38" t="str">
        <f t="shared" si="3"/>
        <v>078706751</v>
      </c>
      <c r="O124" s="43">
        <v>78706751000115</v>
      </c>
      <c r="P124" s="38" t="s">
        <v>528</v>
      </c>
      <c r="Q124" s="38" t="s">
        <v>383</v>
      </c>
      <c r="R124" s="38" t="s">
        <v>529</v>
      </c>
    </row>
    <row r="125" spans="1:18" x14ac:dyDescent="0.3">
      <c r="A125" s="38">
        <v>4</v>
      </c>
      <c r="B125" s="38" t="s">
        <v>936</v>
      </c>
      <c r="C125" s="38" t="s">
        <v>937</v>
      </c>
      <c r="D125" s="38" t="s">
        <v>956</v>
      </c>
      <c r="E125" s="38" t="s">
        <v>956</v>
      </c>
      <c r="F125" s="70">
        <v>3.7</v>
      </c>
      <c r="G125" s="70">
        <v>18.3</v>
      </c>
      <c r="H125" s="70">
        <v>6.2</v>
      </c>
      <c r="I125" s="70">
        <v>6.2</v>
      </c>
      <c r="J125" s="40">
        <v>29500</v>
      </c>
      <c r="K125" s="38" t="str">
        <f t="shared" si="2"/>
        <v>A:3,70 x C:18,30 x L:6,20-6,20 x P:29.500kg</v>
      </c>
      <c r="N125" s="38" t="str">
        <f t="shared" si="3"/>
        <v>078706751</v>
      </c>
      <c r="O125" s="43">
        <v>78706751000549</v>
      </c>
      <c r="P125" s="38" t="s">
        <v>528</v>
      </c>
      <c r="Q125" s="38" t="s">
        <v>383</v>
      </c>
      <c r="R125" s="38" t="s">
        <v>529</v>
      </c>
    </row>
    <row r="126" spans="1:18" x14ac:dyDescent="0.3">
      <c r="A126" s="38">
        <v>5</v>
      </c>
      <c r="B126" s="38" t="s">
        <v>957</v>
      </c>
      <c r="C126" s="38" t="s">
        <v>958</v>
      </c>
      <c r="D126" s="38" t="s">
        <v>959</v>
      </c>
      <c r="E126" s="38" t="s">
        <v>960</v>
      </c>
      <c r="F126" s="70">
        <v>3.34</v>
      </c>
      <c r="G126" s="70">
        <v>7</v>
      </c>
      <c r="H126" s="70">
        <v>2.72</v>
      </c>
      <c r="I126" s="70">
        <v>3.3</v>
      </c>
      <c r="J126" s="40">
        <v>9703</v>
      </c>
      <c r="K126" s="38" t="str">
        <f t="shared" si="2"/>
        <v>A:3,34 x C:7,00 x L:2,72-3,30 x P:9.703kg</v>
      </c>
      <c r="N126" s="38" t="str">
        <f t="shared" si="3"/>
        <v>000495608</v>
      </c>
      <c r="O126" s="43">
        <v>495608000134</v>
      </c>
      <c r="P126" s="38" t="s">
        <v>530</v>
      </c>
      <c r="Q126" s="38" t="s">
        <v>531</v>
      </c>
      <c r="R126" s="38" t="s">
        <v>322</v>
      </c>
    </row>
    <row r="127" spans="1:18" x14ac:dyDescent="0.3">
      <c r="A127" s="38">
        <v>5</v>
      </c>
      <c r="B127" s="38" t="s">
        <v>957</v>
      </c>
      <c r="C127" s="38" t="s">
        <v>958</v>
      </c>
      <c r="D127" s="38" t="s">
        <v>961</v>
      </c>
      <c r="E127" s="38" t="s">
        <v>962</v>
      </c>
      <c r="F127" s="70">
        <v>3.35</v>
      </c>
      <c r="G127" s="70">
        <v>7.5</v>
      </c>
      <c r="H127" s="70">
        <v>3.12</v>
      </c>
      <c r="I127" s="70">
        <v>3.94</v>
      </c>
      <c r="J127" s="40">
        <v>10000</v>
      </c>
      <c r="K127" s="38" t="str">
        <f t="shared" si="2"/>
        <v>A:3,35 x C:7,50 x L:3,12-3,94 x P:10.000kg</v>
      </c>
      <c r="N127" s="38" t="str">
        <f t="shared" si="3"/>
        <v>002343801</v>
      </c>
      <c r="O127" s="43">
        <v>2343801000185</v>
      </c>
      <c r="P127" s="38" t="s">
        <v>532</v>
      </c>
      <c r="Q127" s="38" t="s">
        <v>533</v>
      </c>
      <c r="R127" s="38" t="s">
        <v>534</v>
      </c>
    </row>
    <row r="128" spans="1:18" x14ac:dyDescent="0.3">
      <c r="A128" s="38">
        <v>5</v>
      </c>
      <c r="B128" s="38" t="s">
        <v>957</v>
      </c>
      <c r="C128" s="38" t="s">
        <v>958</v>
      </c>
      <c r="D128" s="38" t="s">
        <v>963</v>
      </c>
      <c r="E128" s="38" t="s">
        <v>964</v>
      </c>
      <c r="F128" s="70">
        <v>3.35</v>
      </c>
      <c r="G128" s="70">
        <v>7.5</v>
      </c>
      <c r="H128" s="70">
        <v>3.12</v>
      </c>
      <c r="I128" s="70">
        <v>3.94</v>
      </c>
      <c r="J128" s="40">
        <v>10200</v>
      </c>
      <c r="K128" s="38" t="str">
        <f t="shared" si="2"/>
        <v>A:3,35 x C:7,50 x L:3,12-3,94 x P:10.200kg</v>
      </c>
      <c r="N128" s="38" t="str">
        <f t="shared" si="3"/>
        <v>002343801</v>
      </c>
      <c r="O128" s="43">
        <v>2343801000690</v>
      </c>
      <c r="P128" s="38" t="s">
        <v>532</v>
      </c>
      <c r="Q128" s="38" t="s">
        <v>533</v>
      </c>
      <c r="R128" s="38" t="s">
        <v>322</v>
      </c>
    </row>
    <row r="129" spans="1:18" x14ac:dyDescent="0.3">
      <c r="A129" s="38">
        <v>5</v>
      </c>
      <c r="B129" s="38" t="s">
        <v>957</v>
      </c>
      <c r="C129" s="38" t="s">
        <v>958</v>
      </c>
      <c r="D129" s="38" t="s">
        <v>965</v>
      </c>
      <c r="E129" s="38" t="s">
        <v>966</v>
      </c>
      <c r="F129" s="70">
        <v>3.36</v>
      </c>
      <c r="G129" s="70">
        <v>7.8</v>
      </c>
      <c r="H129" s="70">
        <v>2.29</v>
      </c>
      <c r="I129" s="70">
        <v>3.05</v>
      </c>
      <c r="J129" s="40">
        <v>8350</v>
      </c>
      <c r="K129" s="38" t="str">
        <f t="shared" si="2"/>
        <v>A:3,36 x C:7,80 x L:2,29-3,05 x P:8.350kg</v>
      </c>
      <c r="N129" s="38" t="str">
        <f t="shared" si="3"/>
        <v>004421739</v>
      </c>
      <c r="O129" s="43">
        <v>4421739000128</v>
      </c>
      <c r="P129" s="38" t="s">
        <v>535</v>
      </c>
      <c r="Q129" s="38" t="s">
        <v>536</v>
      </c>
      <c r="R129" s="38" t="s">
        <v>430</v>
      </c>
    </row>
    <row r="130" spans="1:18" x14ac:dyDescent="0.3">
      <c r="A130" s="38">
        <v>5</v>
      </c>
      <c r="B130" s="38" t="s">
        <v>957</v>
      </c>
      <c r="C130" s="38" t="s">
        <v>937</v>
      </c>
      <c r="D130" s="38" t="s">
        <v>967</v>
      </c>
      <c r="E130" s="38" t="s">
        <v>967</v>
      </c>
      <c r="F130" s="70">
        <v>3.35</v>
      </c>
      <c r="G130" s="70">
        <v>6.5</v>
      </c>
      <c r="H130" s="70">
        <v>2.8</v>
      </c>
      <c r="I130" s="70">
        <v>3.2</v>
      </c>
      <c r="J130" s="40">
        <v>8100</v>
      </c>
      <c r="K130" s="38" t="str">
        <f t="shared" si="2"/>
        <v>A:3,35 x C:6,50 x L:2,80-3,20 x P:8.100kg</v>
      </c>
      <c r="N130" s="38" t="str">
        <f t="shared" si="3"/>
        <v>004421739</v>
      </c>
      <c r="O130" s="43">
        <v>4421739000390</v>
      </c>
      <c r="P130" s="38" t="s">
        <v>535</v>
      </c>
      <c r="Q130" s="38" t="s">
        <v>536</v>
      </c>
      <c r="R130" s="38" t="s">
        <v>430</v>
      </c>
    </row>
    <row r="131" spans="1:18" x14ac:dyDescent="0.3">
      <c r="A131" s="38">
        <v>5</v>
      </c>
      <c r="B131" s="38" t="s">
        <v>957</v>
      </c>
      <c r="C131" s="38" t="s">
        <v>937</v>
      </c>
      <c r="D131" s="38" t="s">
        <v>968</v>
      </c>
      <c r="E131" s="38" t="s">
        <v>968</v>
      </c>
      <c r="F131" s="70">
        <v>2.35</v>
      </c>
      <c r="G131" s="70">
        <v>7</v>
      </c>
      <c r="H131" s="70">
        <v>3.2</v>
      </c>
      <c r="I131" s="70">
        <v>3.2</v>
      </c>
      <c r="J131" s="40">
        <v>8315</v>
      </c>
      <c r="K131" s="38" t="str">
        <f t="shared" ref="K131:K136" si="4">"A:"&amp;TEXT(F131,"0,00")&amp;" x C:"&amp;TEXT(G131,"0,00")&amp;" x L:"&amp;TEXT(H131,"0,00")&amp;"-"&amp;TEXT(I131,"0,00")&amp;" x P:"&amp;TEXT(J131,"0.00")&amp;"kg"</f>
        <v>A:2,35 x C:7,00 x L:3,20-3,20 x P:8.315kg</v>
      </c>
      <c r="N131" s="38" t="str">
        <f t="shared" ref="N131:N194" si="5">"0"&amp;LEFT(TEXT(SUBSTITUTE(SUBSTITUTE(SUBSTITUTE(O131,".",""),"/",""),"-",""),"00000000000000"),8)</f>
        <v>004421739</v>
      </c>
      <c r="O131" s="43">
        <v>4421739000470</v>
      </c>
      <c r="P131" s="38" t="s">
        <v>535</v>
      </c>
      <c r="Q131" s="38" t="s">
        <v>536</v>
      </c>
      <c r="R131" s="38" t="s">
        <v>430</v>
      </c>
    </row>
    <row r="132" spans="1:18" x14ac:dyDescent="0.3">
      <c r="A132" s="38">
        <v>6</v>
      </c>
      <c r="B132" s="38" t="s">
        <v>969</v>
      </c>
      <c r="C132" s="38" t="s">
        <v>970</v>
      </c>
      <c r="D132" s="38" t="s">
        <v>971</v>
      </c>
      <c r="E132" s="38" t="s">
        <v>971</v>
      </c>
      <c r="F132" s="70">
        <v>3.9</v>
      </c>
      <c r="G132" s="70">
        <v>6.5</v>
      </c>
      <c r="H132" s="70">
        <v>3.2</v>
      </c>
      <c r="I132" s="70">
        <v>3.5</v>
      </c>
      <c r="J132" s="40">
        <v>15000</v>
      </c>
      <c r="K132" s="38" t="str">
        <f t="shared" si="4"/>
        <v>A:3,90 x C:6,50 x L:3,20-3,50 x P:15.000kg</v>
      </c>
      <c r="N132" s="38" t="str">
        <f t="shared" si="5"/>
        <v>004770253</v>
      </c>
      <c r="O132" s="43">
        <v>4770253000103</v>
      </c>
      <c r="P132" s="38" t="s">
        <v>537</v>
      </c>
      <c r="Q132" s="38" t="s">
        <v>538</v>
      </c>
      <c r="R132" s="38" t="s">
        <v>539</v>
      </c>
    </row>
    <row r="133" spans="1:18" x14ac:dyDescent="0.3">
      <c r="A133" s="38">
        <v>6</v>
      </c>
      <c r="B133" s="38" t="s">
        <v>969</v>
      </c>
      <c r="C133" s="38" t="s">
        <v>970</v>
      </c>
      <c r="D133" s="38" t="s">
        <v>972</v>
      </c>
      <c r="E133" s="38" t="s">
        <v>972</v>
      </c>
      <c r="F133" s="70">
        <v>3.9</v>
      </c>
      <c r="G133" s="70">
        <v>6.5</v>
      </c>
      <c r="H133" s="70">
        <v>3.2</v>
      </c>
      <c r="I133" s="70">
        <v>3.5</v>
      </c>
      <c r="J133" s="40">
        <v>15500</v>
      </c>
      <c r="K133" s="38" t="str">
        <f t="shared" si="4"/>
        <v>A:3,90 x C:6,50 x L:3,20-3,50 x P:15.500kg</v>
      </c>
      <c r="N133" s="38" t="str">
        <f t="shared" si="5"/>
        <v>004892707</v>
      </c>
      <c r="O133" s="43">
        <v>4892707000100</v>
      </c>
      <c r="P133" s="38" t="s">
        <v>540</v>
      </c>
      <c r="Q133" s="38" t="s">
        <v>226</v>
      </c>
      <c r="R133" s="38" t="s">
        <v>541</v>
      </c>
    </row>
    <row r="134" spans="1:18" x14ac:dyDescent="0.3">
      <c r="A134" s="38">
        <v>6</v>
      </c>
      <c r="B134" s="38" t="s">
        <v>969</v>
      </c>
      <c r="C134" s="38" t="s">
        <v>970</v>
      </c>
      <c r="D134" s="38" t="s">
        <v>973</v>
      </c>
      <c r="E134" s="38" t="s">
        <v>973</v>
      </c>
      <c r="F134" s="70">
        <v>3.9</v>
      </c>
      <c r="G134" s="70">
        <v>6.6</v>
      </c>
      <c r="H134" s="70">
        <v>3.2</v>
      </c>
      <c r="I134" s="70">
        <v>3.7</v>
      </c>
      <c r="J134" s="40">
        <v>16000</v>
      </c>
      <c r="K134" s="38" t="str">
        <f t="shared" si="4"/>
        <v>A:3,90 x C:6,60 x L:3,20-3,70 x P:16.000kg</v>
      </c>
      <c r="N134" s="38" t="str">
        <f t="shared" si="5"/>
        <v>006208105</v>
      </c>
      <c r="O134" s="43">
        <v>6208105000460</v>
      </c>
      <c r="P134" s="38" t="s">
        <v>335</v>
      </c>
      <c r="Q134" s="38" t="s">
        <v>329</v>
      </c>
      <c r="R134" s="38" t="s">
        <v>542</v>
      </c>
    </row>
    <row r="135" spans="1:18" x14ac:dyDescent="0.3">
      <c r="A135" s="38">
        <v>7</v>
      </c>
      <c r="B135" s="38" t="s">
        <v>974</v>
      </c>
      <c r="C135" s="38" t="s">
        <v>975</v>
      </c>
      <c r="D135" s="38" t="s">
        <v>976</v>
      </c>
      <c r="E135" s="38" t="s">
        <v>976</v>
      </c>
      <c r="F135" s="70">
        <v>1</v>
      </c>
      <c r="G135" s="70">
        <v>9.6999999999999993</v>
      </c>
      <c r="H135" s="70">
        <v>2.5</v>
      </c>
      <c r="I135" s="70">
        <v>2.5</v>
      </c>
      <c r="J135" s="40">
        <v>500</v>
      </c>
      <c r="K135" s="38" t="str">
        <f t="shared" si="4"/>
        <v>A:1,00 x C:9,70 x L:2,50-2,50 x P:500kg</v>
      </c>
      <c r="N135" s="38" t="str">
        <f t="shared" si="5"/>
        <v>006208105</v>
      </c>
      <c r="O135" s="43">
        <v>6208105001512</v>
      </c>
      <c r="P135" s="38" t="s">
        <v>543</v>
      </c>
      <c r="Q135" s="38" t="s">
        <v>329</v>
      </c>
      <c r="R135" s="38" t="s">
        <v>544</v>
      </c>
    </row>
    <row r="136" spans="1:18" x14ac:dyDescent="0.3">
      <c r="A136" s="38">
        <v>3</v>
      </c>
      <c r="B136" s="38" t="s">
        <v>830</v>
      </c>
      <c r="C136" s="38" t="s">
        <v>929</v>
      </c>
      <c r="D136" s="38" t="s">
        <v>977</v>
      </c>
      <c r="E136" s="38" t="s">
        <v>977</v>
      </c>
      <c r="F136" s="70">
        <v>1.6</v>
      </c>
      <c r="G136" s="70">
        <v>7.6</v>
      </c>
      <c r="H136" s="70">
        <v>1.8</v>
      </c>
      <c r="I136" s="70">
        <v>1.8</v>
      </c>
      <c r="J136" s="40">
        <v>2100</v>
      </c>
      <c r="K136" s="38" t="str">
        <f t="shared" si="4"/>
        <v>A:1,60 x C:7,60 x L:1,80-1,80 x P:2.100kg</v>
      </c>
      <c r="N136" s="38" t="str">
        <f t="shared" si="5"/>
        <v>010680844</v>
      </c>
      <c r="O136" s="43">
        <v>10680844000184</v>
      </c>
      <c r="P136" s="38" t="s">
        <v>545</v>
      </c>
      <c r="Q136" s="38" t="s">
        <v>546</v>
      </c>
      <c r="R136" s="38" t="s">
        <v>322</v>
      </c>
    </row>
    <row r="137" spans="1:18" x14ac:dyDescent="0.3">
      <c r="N137" s="38" t="str">
        <f t="shared" si="5"/>
        <v>010741822</v>
      </c>
      <c r="O137" s="43">
        <v>10741822000187</v>
      </c>
      <c r="P137" s="38" t="s">
        <v>547</v>
      </c>
      <c r="Q137" s="38" t="s">
        <v>548</v>
      </c>
      <c r="R137" s="38" t="s">
        <v>322</v>
      </c>
    </row>
    <row r="138" spans="1:18" x14ac:dyDescent="0.3">
      <c r="N138" s="38" t="str">
        <f t="shared" si="5"/>
        <v>011780069</v>
      </c>
      <c r="O138" s="43">
        <v>11780069000100</v>
      </c>
      <c r="P138" s="38" t="s">
        <v>549</v>
      </c>
      <c r="Q138" s="38" t="s">
        <v>550</v>
      </c>
      <c r="R138" s="38" t="s">
        <v>322</v>
      </c>
    </row>
    <row r="139" spans="1:18" x14ac:dyDescent="0.3">
      <c r="N139" s="38" t="str">
        <f t="shared" si="5"/>
        <v>016666005</v>
      </c>
      <c r="O139" s="43">
        <v>16666005000198</v>
      </c>
      <c r="P139" s="38" t="s">
        <v>551</v>
      </c>
      <c r="Q139" s="38" t="s">
        <v>552</v>
      </c>
      <c r="R139" s="38" t="s">
        <v>322</v>
      </c>
    </row>
    <row r="140" spans="1:18" x14ac:dyDescent="0.3">
      <c r="N140" s="38" t="str">
        <f t="shared" si="5"/>
        <v>018252586</v>
      </c>
      <c r="O140" s="43">
        <v>18252586000147</v>
      </c>
      <c r="P140" s="38" t="s">
        <v>553</v>
      </c>
      <c r="Q140" s="38" t="s">
        <v>554</v>
      </c>
      <c r="R140" s="38" t="s">
        <v>555</v>
      </c>
    </row>
    <row r="141" spans="1:18" x14ac:dyDescent="0.3">
      <c r="N141" s="38" t="str">
        <f t="shared" si="5"/>
        <v>021272666</v>
      </c>
      <c r="O141" s="43">
        <v>21272666000179</v>
      </c>
      <c r="P141" s="38" t="s">
        <v>556</v>
      </c>
      <c r="Q141" s="38" t="s">
        <v>557</v>
      </c>
      <c r="R141" s="38" t="s">
        <v>343</v>
      </c>
    </row>
    <row r="142" spans="1:18" x14ac:dyDescent="0.3">
      <c r="N142" s="38" t="str">
        <f t="shared" si="5"/>
        <v>035912495</v>
      </c>
      <c r="O142" s="43">
        <v>35912495000452</v>
      </c>
      <c r="P142" s="38" t="s">
        <v>558</v>
      </c>
      <c r="Q142" s="38" t="s">
        <v>559</v>
      </c>
      <c r="R142" s="38" t="s">
        <v>395</v>
      </c>
    </row>
    <row r="143" spans="1:18" x14ac:dyDescent="0.3">
      <c r="N143" s="38" t="str">
        <f t="shared" si="5"/>
        <v>037439159</v>
      </c>
      <c r="O143" s="43">
        <v>37439159000117</v>
      </c>
      <c r="P143" s="38" t="s">
        <v>560</v>
      </c>
      <c r="Q143" s="38" t="s">
        <v>561</v>
      </c>
      <c r="R143" s="38" t="s">
        <v>343</v>
      </c>
    </row>
    <row r="144" spans="1:18" x14ac:dyDescent="0.3">
      <c r="N144" s="38" t="str">
        <f t="shared" si="5"/>
        <v>038126289</v>
      </c>
      <c r="O144" s="43">
        <v>38126289000162</v>
      </c>
      <c r="P144" s="38" t="s">
        <v>562</v>
      </c>
      <c r="Q144" s="38" t="s">
        <v>563</v>
      </c>
      <c r="R144" s="38" t="s">
        <v>322</v>
      </c>
    </row>
    <row r="145" spans="14:18" x14ac:dyDescent="0.3">
      <c r="N145" s="38" t="str">
        <f t="shared" si="5"/>
        <v>041544387</v>
      </c>
      <c r="O145" s="43">
        <v>41544387000124</v>
      </c>
      <c r="P145" s="38" t="s">
        <v>564</v>
      </c>
      <c r="Q145" s="38" t="s">
        <v>565</v>
      </c>
      <c r="R145" s="38" t="s">
        <v>566</v>
      </c>
    </row>
    <row r="146" spans="14:18" x14ac:dyDescent="0.3">
      <c r="N146" s="38" t="str">
        <f t="shared" si="5"/>
        <v>043197553</v>
      </c>
      <c r="O146" s="43">
        <v>43197553000199</v>
      </c>
      <c r="P146" s="38" t="s">
        <v>567</v>
      </c>
      <c r="Q146" s="38" t="s">
        <v>568</v>
      </c>
      <c r="R146" s="38" t="s">
        <v>569</v>
      </c>
    </row>
    <row r="147" spans="14:18" x14ac:dyDescent="0.3">
      <c r="N147" s="38" t="str">
        <f t="shared" si="5"/>
        <v>046570181</v>
      </c>
      <c r="O147" s="43">
        <v>46570181000192</v>
      </c>
      <c r="P147" s="38" t="s">
        <v>570</v>
      </c>
      <c r="Q147" s="38" t="s">
        <v>571</v>
      </c>
      <c r="R147" s="38" t="s">
        <v>430</v>
      </c>
    </row>
    <row r="148" spans="14:18" x14ac:dyDescent="0.3">
      <c r="N148" s="38" t="str">
        <f t="shared" si="5"/>
        <v>048269792</v>
      </c>
      <c r="O148" s="43">
        <v>48269792000120</v>
      </c>
      <c r="P148" s="38" t="s">
        <v>572</v>
      </c>
      <c r="Q148" s="38" t="s">
        <v>573</v>
      </c>
      <c r="R148" s="38" t="s">
        <v>574</v>
      </c>
    </row>
    <row r="149" spans="14:18" x14ac:dyDescent="0.3">
      <c r="N149" s="38" t="str">
        <f t="shared" si="5"/>
        <v>061234985</v>
      </c>
      <c r="O149" s="43">
        <v>61234985015993</v>
      </c>
      <c r="P149" s="38" t="s">
        <v>360</v>
      </c>
      <c r="Q149" s="38" t="s">
        <v>361</v>
      </c>
      <c r="R149" s="38" t="s">
        <v>302</v>
      </c>
    </row>
    <row r="150" spans="14:18" x14ac:dyDescent="0.3">
      <c r="N150" s="38" t="str">
        <f t="shared" si="5"/>
        <v>061234985</v>
      </c>
      <c r="O150" s="43">
        <v>61234985015306</v>
      </c>
      <c r="P150" s="38" t="s">
        <v>360</v>
      </c>
      <c r="Q150" s="38" t="s">
        <v>361</v>
      </c>
      <c r="R150" s="38" t="s">
        <v>430</v>
      </c>
    </row>
    <row r="151" spans="14:18" x14ac:dyDescent="0.3">
      <c r="N151" s="38" t="str">
        <f t="shared" si="5"/>
        <v>061234985</v>
      </c>
      <c r="O151" s="43">
        <v>61234985015560</v>
      </c>
      <c r="P151" s="38" t="s">
        <v>360</v>
      </c>
      <c r="Q151" s="38" t="s">
        <v>361</v>
      </c>
      <c r="R151" s="38" t="s">
        <v>322</v>
      </c>
    </row>
    <row r="152" spans="14:18" x14ac:dyDescent="0.3">
      <c r="N152" s="38" t="str">
        <f t="shared" si="5"/>
        <v>061234985</v>
      </c>
      <c r="O152" s="43">
        <v>61234985012544</v>
      </c>
      <c r="P152" s="38" t="s">
        <v>360</v>
      </c>
      <c r="Q152" s="38" t="s">
        <v>361</v>
      </c>
      <c r="R152" s="38" t="s">
        <v>575</v>
      </c>
    </row>
    <row r="153" spans="14:18" x14ac:dyDescent="0.3">
      <c r="N153" s="38" t="str">
        <f t="shared" si="5"/>
        <v>061259226</v>
      </c>
      <c r="O153" s="43">
        <v>61259226000104</v>
      </c>
      <c r="P153" s="38" t="s">
        <v>576</v>
      </c>
      <c r="Q153" s="38" t="s">
        <v>577</v>
      </c>
      <c r="R153" s="38" t="s">
        <v>578</v>
      </c>
    </row>
    <row r="154" spans="14:18" x14ac:dyDescent="0.3">
      <c r="N154" s="38" t="str">
        <f t="shared" si="5"/>
        <v>072032824</v>
      </c>
      <c r="O154" s="43">
        <v>72032824000154</v>
      </c>
      <c r="P154" s="38" t="s">
        <v>579</v>
      </c>
      <c r="Q154" s="38" t="s">
        <v>580</v>
      </c>
      <c r="R154" s="38" t="s">
        <v>322</v>
      </c>
    </row>
    <row r="155" spans="14:18" x14ac:dyDescent="0.3">
      <c r="N155" s="38" t="str">
        <f t="shared" si="5"/>
        <v>079973913</v>
      </c>
      <c r="O155" s="43">
        <v>79973913000144</v>
      </c>
      <c r="P155" s="38" t="s">
        <v>581</v>
      </c>
      <c r="Q155" s="38" t="s">
        <v>582</v>
      </c>
      <c r="R155" s="38" t="s">
        <v>302</v>
      </c>
    </row>
    <row r="156" spans="14:18" x14ac:dyDescent="0.3">
      <c r="N156" s="38" t="str">
        <f t="shared" si="5"/>
        <v>084895598</v>
      </c>
      <c r="O156" s="43">
        <v>84895598000114</v>
      </c>
      <c r="P156" s="38" t="s">
        <v>583</v>
      </c>
      <c r="Q156" s="38" t="s">
        <v>584</v>
      </c>
      <c r="R156" s="38" t="s">
        <v>430</v>
      </c>
    </row>
    <row r="157" spans="14:18" x14ac:dyDescent="0.3">
      <c r="N157" s="38" t="str">
        <f t="shared" si="5"/>
        <v>031370636</v>
      </c>
      <c r="O157" s="43">
        <v>31370636000159</v>
      </c>
      <c r="P157" s="38" t="s">
        <v>585</v>
      </c>
      <c r="Q157" s="38" t="s">
        <v>276</v>
      </c>
      <c r="R157" s="38" t="s">
        <v>359</v>
      </c>
    </row>
    <row r="158" spans="14:18" x14ac:dyDescent="0.3">
      <c r="N158" s="38" t="str">
        <f t="shared" si="5"/>
        <v>014540032</v>
      </c>
      <c r="O158" s="43">
        <v>14540032000194</v>
      </c>
      <c r="P158" s="38" t="s">
        <v>586</v>
      </c>
      <c r="Q158" s="38" t="s">
        <v>587</v>
      </c>
      <c r="R158" s="38" t="s">
        <v>322</v>
      </c>
    </row>
    <row r="159" spans="14:18" x14ac:dyDescent="0.3">
      <c r="N159" s="38" t="str">
        <f t="shared" si="5"/>
        <v>033254429</v>
      </c>
      <c r="O159" s="43">
        <v>33254429000164</v>
      </c>
      <c r="P159" s="38" t="s">
        <v>588</v>
      </c>
      <c r="Q159" s="38" t="s">
        <v>589</v>
      </c>
      <c r="R159" s="38" t="s">
        <v>450</v>
      </c>
    </row>
    <row r="160" spans="14:18" x14ac:dyDescent="0.3">
      <c r="N160" s="38" t="str">
        <f t="shared" si="5"/>
        <v>019320206</v>
      </c>
      <c r="O160" s="43">
        <v>19320206000127</v>
      </c>
      <c r="P160" s="38" t="s">
        <v>590</v>
      </c>
      <c r="Q160" s="38" t="s">
        <v>591</v>
      </c>
      <c r="R160" s="38" t="s">
        <v>450</v>
      </c>
    </row>
    <row r="161" spans="14:18" x14ac:dyDescent="0.3">
      <c r="N161" s="38" t="str">
        <f t="shared" si="5"/>
        <v>081230021</v>
      </c>
      <c r="O161" s="43">
        <v>81230021000103</v>
      </c>
      <c r="P161" s="38" t="s">
        <v>592</v>
      </c>
      <c r="Q161" s="38" t="s">
        <v>593</v>
      </c>
      <c r="R161" s="38" t="s">
        <v>430</v>
      </c>
    </row>
    <row r="162" spans="14:18" x14ac:dyDescent="0.3">
      <c r="N162" s="38" t="str">
        <f t="shared" si="5"/>
        <v>080227796</v>
      </c>
      <c r="O162" s="43">
        <v>80227796006270</v>
      </c>
      <c r="P162" s="38" t="s">
        <v>594</v>
      </c>
      <c r="Q162" s="38" t="s">
        <v>255</v>
      </c>
      <c r="R162" s="38" t="s">
        <v>595</v>
      </c>
    </row>
    <row r="163" spans="14:18" x14ac:dyDescent="0.3">
      <c r="N163" s="38" t="str">
        <f t="shared" si="5"/>
        <v>080227796</v>
      </c>
      <c r="O163" s="43">
        <v>80227796000159</v>
      </c>
      <c r="P163" s="38" t="s">
        <v>594</v>
      </c>
      <c r="Q163" s="38" t="s">
        <v>255</v>
      </c>
      <c r="R163" s="38" t="s">
        <v>322</v>
      </c>
    </row>
    <row r="164" spans="14:18" x14ac:dyDescent="0.3">
      <c r="N164" s="38" t="str">
        <f t="shared" si="5"/>
        <v>080227796</v>
      </c>
      <c r="O164" s="43">
        <v>80227796005118</v>
      </c>
      <c r="P164" s="38" t="s">
        <v>594</v>
      </c>
      <c r="Q164" s="38" t="s">
        <v>255</v>
      </c>
      <c r="R164" s="38" t="s">
        <v>596</v>
      </c>
    </row>
    <row r="165" spans="14:18" x14ac:dyDescent="0.3">
      <c r="N165" s="38" t="str">
        <f t="shared" si="5"/>
        <v>080227796</v>
      </c>
      <c r="O165" s="43">
        <v>80227796001473</v>
      </c>
      <c r="P165" s="38" t="s">
        <v>594</v>
      </c>
      <c r="Q165" s="38" t="s">
        <v>255</v>
      </c>
      <c r="R165" s="38" t="s">
        <v>529</v>
      </c>
    </row>
    <row r="166" spans="14:18" x14ac:dyDescent="0.3">
      <c r="N166" s="38" t="str">
        <f t="shared" si="5"/>
        <v>016671210</v>
      </c>
      <c r="O166" s="43">
        <v>16671210000141</v>
      </c>
      <c r="P166" s="38" t="s">
        <v>423</v>
      </c>
      <c r="Q166" s="38" t="s">
        <v>424</v>
      </c>
      <c r="R166" s="38" t="s">
        <v>322</v>
      </c>
    </row>
    <row r="167" spans="14:18" x14ac:dyDescent="0.3">
      <c r="N167" s="38" t="str">
        <f t="shared" si="5"/>
        <v>037969440</v>
      </c>
      <c r="O167" s="43">
        <v>37969440000161</v>
      </c>
      <c r="P167" s="38" t="s">
        <v>597</v>
      </c>
      <c r="Q167" s="38" t="s">
        <v>598</v>
      </c>
      <c r="R167" s="38" t="s">
        <v>322</v>
      </c>
    </row>
    <row r="168" spans="14:18" x14ac:dyDescent="0.3">
      <c r="N168" s="38" t="str">
        <f t="shared" si="5"/>
        <v>003162671</v>
      </c>
      <c r="O168" s="43">
        <v>3162671000147</v>
      </c>
      <c r="P168" s="38" t="s">
        <v>599</v>
      </c>
      <c r="Q168" s="38" t="s">
        <v>600</v>
      </c>
      <c r="R168" s="38" t="s">
        <v>322</v>
      </c>
    </row>
    <row r="169" spans="14:18" x14ac:dyDescent="0.3">
      <c r="N169" s="38" t="str">
        <f t="shared" si="5"/>
        <v>044336898</v>
      </c>
      <c r="O169" s="43">
        <v>44336898000149</v>
      </c>
      <c r="P169" s="38" t="s">
        <v>601</v>
      </c>
      <c r="Q169" s="38" t="s">
        <v>602</v>
      </c>
      <c r="R169" s="38" t="s">
        <v>322</v>
      </c>
    </row>
    <row r="170" spans="14:18" x14ac:dyDescent="0.3">
      <c r="N170" s="38" t="str">
        <f t="shared" si="5"/>
        <v>038052835</v>
      </c>
      <c r="O170" s="43">
        <v>38052835000168</v>
      </c>
      <c r="P170" s="38" t="s">
        <v>603</v>
      </c>
      <c r="Q170" s="38" t="s">
        <v>604</v>
      </c>
      <c r="R170" s="38" t="s">
        <v>322</v>
      </c>
    </row>
    <row r="171" spans="14:18" x14ac:dyDescent="0.3">
      <c r="N171" s="38" t="str">
        <f t="shared" si="5"/>
        <v>058643549</v>
      </c>
      <c r="O171" s="43">
        <v>58643549000184</v>
      </c>
      <c r="P171" s="38" t="s">
        <v>605</v>
      </c>
      <c r="Q171" s="38" t="s">
        <v>606</v>
      </c>
      <c r="R171" s="38" t="s">
        <v>322</v>
      </c>
    </row>
    <row r="172" spans="14:18" x14ac:dyDescent="0.3">
      <c r="N172" s="38" t="str">
        <f t="shared" si="5"/>
        <v>058219628</v>
      </c>
      <c r="O172" s="43" t="s">
        <v>607</v>
      </c>
      <c r="P172" s="38" t="s">
        <v>608</v>
      </c>
      <c r="Q172" s="38" t="s">
        <v>609</v>
      </c>
      <c r="R172" s="38" t="s">
        <v>610</v>
      </c>
    </row>
    <row r="173" spans="14:18" x14ac:dyDescent="0.3">
      <c r="N173" s="38" t="str">
        <f t="shared" si="5"/>
        <v>044914992</v>
      </c>
      <c r="O173" s="43">
        <v>44914992002424</v>
      </c>
      <c r="P173" s="38" t="s">
        <v>611</v>
      </c>
      <c r="Q173" s="38" t="s">
        <v>559</v>
      </c>
      <c r="R173" s="38" t="s">
        <v>308</v>
      </c>
    </row>
    <row r="174" spans="14:18" x14ac:dyDescent="0.3">
      <c r="N174" s="38" t="str">
        <f t="shared" si="5"/>
        <v>044914992</v>
      </c>
      <c r="O174" s="43">
        <v>44914992003315</v>
      </c>
      <c r="P174" s="38" t="s">
        <v>612</v>
      </c>
      <c r="Q174" s="38" t="s">
        <v>559</v>
      </c>
      <c r="R174" s="38" t="s">
        <v>613</v>
      </c>
    </row>
    <row r="175" spans="14:18" x14ac:dyDescent="0.3">
      <c r="N175" s="38" t="str">
        <f t="shared" si="5"/>
        <v>044914992</v>
      </c>
      <c r="O175" s="43">
        <v>44914992003820</v>
      </c>
      <c r="P175" s="38" t="s">
        <v>612</v>
      </c>
      <c r="Q175" s="38" t="s">
        <v>559</v>
      </c>
      <c r="R175" s="38" t="s">
        <v>395</v>
      </c>
    </row>
    <row r="176" spans="14:18" x14ac:dyDescent="0.3">
      <c r="N176" s="38" t="str">
        <f t="shared" si="5"/>
        <v>044914992</v>
      </c>
      <c r="O176" s="43">
        <v>44914992001886</v>
      </c>
      <c r="P176" s="38" t="s">
        <v>614</v>
      </c>
      <c r="Q176" s="38" t="s">
        <v>559</v>
      </c>
      <c r="R176" s="38" t="s">
        <v>615</v>
      </c>
    </row>
    <row r="177" spans="14:18" x14ac:dyDescent="0.3">
      <c r="N177" s="38" t="str">
        <f t="shared" si="5"/>
        <v>044914992</v>
      </c>
      <c r="O177" s="43">
        <v>44914992003668</v>
      </c>
      <c r="P177" s="38" t="s">
        <v>612</v>
      </c>
      <c r="Q177" s="38" t="s">
        <v>559</v>
      </c>
      <c r="R177" s="38" t="s">
        <v>616</v>
      </c>
    </row>
    <row r="178" spans="14:18" x14ac:dyDescent="0.3">
      <c r="N178" s="38" t="str">
        <f t="shared" si="5"/>
        <v>044914992</v>
      </c>
      <c r="O178" s="43">
        <v>44914992001703</v>
      </c>
      <c r="P178" s="38" t="s">
        <v>617</v>
      </c>
      <c r="Q178" s="38" t="s">
        <v>559</v>
      </c>
      <c r="R178" s="38" t="s">
        <v>401</v>
      </c>
    </row>
    <row r="179" spans="14:18" x14ac:dyDescent="0.3">
      <c r="N179" s="38" t="str">
        <f t="shared" si="5"/>
        <v>044914992</v>
      </c>
      <c r="O179" s="43">
        <v>44914992002181</v>
      </c>
      <c r="P179" s="38" t="s">
        <v>618</v>
      </c>
      <c r="Q179" s="38" t="s">
        <v>559</v>
      </c>
      <c r="R179" s="38" t="s">
        <v>619</v>
      </c>
    </row>
    <row r="180" spans="14:18" x14ac:dyDescent="0.3">
      <c r="N180" s="38" t="str">
        <f t="shared" si="5"/>
        <v>044914992</v>
      </c>
      <c r="O180" s="43">
        <v>44914992002777</v>
      </c>
      <c r="P180" s="38" t="s">
        <v>617</v>
      </c>
      <c r="Q180" s="38" t="s">
        <v>559</v>
      </c>
      <c r="R180" s="38" t="s">
        <v>312</v>
      </c>
    </row>
    <row r="181" spans="14:18" x14ac:dyDescent="0.3">
      <c r="N181" s="38" t="str">
        <f t="shared" si="5"/>
        <v>044914992</v>
      </c>
      <c r="O181" s="43">
        <v>44914992000138</v>
      </c>
      <c r="P181" s="38" t="s">
        <v>620</v>
      </c>
      <c r="Q181" s="38" t="s">
        <v>559</v>
      </c>
      <c r="R181" s="38" t="s">
        <v>621</v>
      </c>
    </row>
    <row r="182" spans="14:18" x14ac:dyDescent="0.3">
      <c r="N182" s="38" t="str">
        <f t="shared" si="5"/>
        <v>044914992</v>
      </c>
      <c r="O182" s="43">
        <v>44914992001371</v>
      </c>
      <c r="P182" s="38" t="s">
        <v>622</v>
      </c>
      <c r="Q182" s="38" t="s">
        <v>559</v>
      </c>
      <c r="R182" s="38" t="s">
        <v>529</v>
      </c>
    </row>
    <row r="183" spans="14:18" x14ac:dyDescent="0.3">
      <c r="N183" s="38" t="str">
        <f t="shared" si="5"/>
        <v>044914992</v>
      </c>
      <c r="O183" s="43">
        <v>44914992001290</v>
      </c>
      <c r="P183" s="38" t="s">
        <v>623</v>
      </c>
      <c r="Q183" s="38" t="s">
        <v>559</v>
      </c>
      <c r="R183" s="38" t="s">
        <v>624</v>
      </c>
    </row>
    <row r="184" spans="14:18" x14ac:dyDescent="0.3">
      <c r="N184" s="38" t="str">
        <f t="shared" si="5"/>
        <v>028176140</v>
      </c>
      <c r="O184" s="43">
        <v>28176140000134</v>
      </c>
      <c r="P184" s="38" t="s">
        <v>625</v>
      </c>
      <c r="Q184" s="38" t="s">
        <v>626</v>
      </c>
      <c r="R184" s="38" t="s">
        <v>332</v>
      </c>
    </row>
    <row r="185" spans="14:18" x14ac:dyDescent="0.3">
      <c r="N185" s="38" t="str">
        <f t="shared" si="5"/>
        <v>034355001</v>
      </c>
      <c r="O185" s="43">
        <v>34355001000170</v>
      </c>
      <c r="P185" s="38" t="s">
        <v>627</v>
      </c>
      <c r="Q185" s="38" t="s">
        <v>628</v>
      </c>
      <c r="R185" s="38" t="s">
        <v>359</v>
      </c>
    </row>
    <row r="186" spans="14:18" x14ac:dyDescent="0.3">
      <c r="N186" s="38" t="str">
        <f t="shared" si="5"/>
        <v>076669324</v>
      </c>
      <c r="O186" s="43">
        <v>76669324000189</v>
      </c>
      <c r="P186" s="38" t="s">
        <v>629</v>
      </c>
      <c r="Q186" s="38" t="s">
        <v>269</v>
      </c>
      <c r="R186" s="38" t="s">
        <v>302</v>
      </c>
    </row>
    <row r="187" spans="14:18" x14ac:dyDescent="0.3">
      <c r="N187" s="38" t="str">
        <f t="shared" si="5"/>
        <v>020920599</v>
      </c>
      <c r="O187" s="43">
        <v>20920599000199</v>
      </c>
      <c r="P187" s="38" t="s">
        <v>630</v>
      </c>
      <c r="Q187" s="38" t="s">
        <v>631</v>
      </c>
      <c r="R187" s="38" t="s">
        <v>322</v>
      </c>
    </row>
    <row r="188" spans="14:18" x14ac:dyDescent="0.3">
      <c r="N188" s="38" t="str">
        <f t="shared" si="5"/>
        <v>006914002</v>
      </c>
      <c r="O188" s="43">
        <v>6914002000172</v>
      </c>
      <c r="P188" s="38" t="s">
        <v>632</v>
      </c>
      <c r="Q188" s="38" t="s">
        <v>239</v>
      </c>
      <c r="R188" s="38" t="s">
        <v>450</v>
      </c>
    </row>
    <row r="189" spans="14:18" x14ac:dyDescent="0.3">
      <c r="N189" s="38" t="str">
        <f t="shared" si="5"/>
        <v>027482459</v>
      </c>
      <c r="O189" s="43">
        <v>27482459000125</v>
      </c>
      <c r="P189" s="38" t="s">
        <v>633</v>
      </c>
      <c r="Q189" s="38" t="s">
        <v>634</v>
      </c>
      <c r="R189" s="38" t="s">
        <v>635</v>
      </c>
    </row>
    <row r="190" spans="14:18" x14ac:dyDescent="0.3">
      <c r="N190" s="38" t="str">
        <f t="shared" si="5"/>
        <v>044139289</v>
      </c>
      <c r="O190" s="43">
        <v>44139289000108</v>
      </c>
      <c r="P190" s="38" t="s">
        <v>636</v>
      </c>
      <c r="Q190" s="38" t="s">
        <v>637</v>
      </c>
      <c r="R190" s="38" t="s">
        <v>529</v>
      </c>
    </row>
    <row r="191" spans="14:18" x14ac:dyDescent="0.3">
      <c r="N191" s="38" t="str">
        <f t="shared" si="5"/>
        <v>006233947</v>
      </c>
      <c r="O191" s="43">
        <v>6233947000129</v>
      </c>
      <c r="P191" s="38" t="s">
        <v>638</v>
      </c>
      <c r="Q191" s="38" t="s">
        <v>639</v>
      </c>
      <c r="R191" s="38" t="s">
        <v>640</v>
      </c>
    </row>
    <row r="192" spans="14:18" x14ac:dyDescent="0.3">
      <c r="N192" s="38" t="str">
        <f t="shared" si="5"/>
        <v>003350624</v>
      </c>
      <c r="O192" s="43">
        <v>3350624000127</v>
      </c>
      <c r="P192" s="38" t="s">
        <v>641</v>
      </c>
      <c r="Q192" s="38" t="s">
        <v>642</v>
      </c>
      <c r="R192" s="38" t="s">
        <v>643</v>
      </c>
    </row>
    <row r="193" spans="14:18" x14ac:dyDescent="0.3">
      <c r="N193" s="38" t="str">
        <f t="shared" si="5"/>
        <v>012154080</v>
      </c>
      <c r="O193" s="43">
        <v>12154080000119</v>
      </c>
      <c r="P193" s="38" t="s">
        <v>644</v>
      </c>
      <c r="Q193" s="38" t="s">
        <v>645</v>
      </c>
      <c r="R193" s="38" t="s">
        <v>322</v>
      </c>
    </row>
    <row r="194" spans="14:18" x14ac:dyDescent="0.3">
      <c r="N194" s="38" t="str">
        <f t="shared" si="5"/>
        <v>000472957</v>
      </c>
      <c r="O194" s="43">
        <v>472957000300</v>
      </c>
      <c r="P194" s="38" t="s">
        <v>646</v>
      </c>
      <c r="Q194" s="38" t="s">
        <v>647</v>
      </c>
      <c r="R194" s="38" t="s">
        <v>343</v>
      </c>
    </row>
    <row r="195" spans="14:18" x14ac:dyDescent="0.3">
      <c r="N195" s="38" t="str">
        <f t="shared" ref="N195:N202" si="6">"0"&amp;LEFT(TEXT(SUBSTITUTE(SUBSTITUTE(SUBSTITUTE(O195,".",""),"/",""),"-",""),"00000000000000"),8)</f>
        <v>000472957</v>
      </c>
      <c r="O195" s="43">
        <v>472957000130</v>
      </c>
      <c r="P195" s="38" t="s">
        <v>646</v>
      </c>
      <c r="Q195" s="38" t="s">
        <v>647</v>
      </c>
      <c r="R195" s="38" t="s">
        <v>322</v>
      </c>
    </row>
    <row r="196" spans="14:18" x14ac:dyDescent="0.3">
      <c r="N196" s="38" t="str">
        <f t="shared" si="6"/>
        <v>045988691</v>
      </c>
      <c r="O196" s="43">
        <v>45988691000111</v>
      </c>
      <c r="P196" s="38" t="s">
        <v>648</v>
      </c>
      <c r="Q196" s="38" t="s">
        <v>649</v>
      </c>
      <c r="R196" s="38" t="s">
        <v>343</v>
      </c>
    </row>
    <row r="197" spans="14:18" x14ac:dyDescent="0.3">
      <c r="N197" s="38" t="str">
        <f t="shared" si="6"/>
        <v>048501079</v>
      </c>
      <c r="O197" s="43">
        <v>48501079000160</v>
      </c>
      <c r="P197" s="38" t="s">
        <v>650</v>
      </c>
      <c r="Q197" s="38" t="s">
        <v>651</v>
      </c>
      <c r="R197" s="38" t="s">
        <v>392</v>
      </c>
    </row>
    <row r="198" spans="14:18" x14ac:dyDescent="0.3">
      <c r="N198" s="38" t="str">
        <f t="shared" si="6"/>
        <v>021915466</v>
      </c>
      <c r="O198" s="43" t="s">
        <v>652</v>
      </c>
      <c r="P198" s="38" t="s">
        <v>653</v>
      </c>
      <c r="Q198" s="38" t="s">
        <v>654</v>
      </c>
      <c r="R198" s="38" t="s">
        <v>655</v>
      </c>
    </row>
    <row r="199" spans="14:18" x14ac:dyDescent="0.3">
      <c r="N199" s="38" t="str">
        <f t="shared" si="6"/>
        <v>040895870</v>
      </c>
      <c r="O199" s="43">
        <v>40895870000190</v>
      </c>
      <c r="P199" s="38" t="s">
        <v>656</v>
      </c>
      <c r="Q199" s="38" t="s">
        <v>657</v>
      </c>
      <c r="R199" s="38" t="s">
        <v>430</v>
      </c>
    </row>
    <row r="200" spans="14:18" x14ac:dyDescent="0.3">
      <c r="N200" s="38" t="str">
        <f t="shared" si="6"/>
        <v>000809068</v>
      </c>
      <c r="O200" s="43">
        <v>809068000116</v>
      </c>
      <c r="P200" s="38" t="s">
        <v>658</v>
      </c>
      <c r="Q200" s="38" t="s">
        <v>659</v>
      </c>
      <c r="R200" s="38" t="s">
        <v>660</v>
      </c>
    </row>
    <row r="201" spans="14:18" x14ac:dyDescent="0.3">
      <c r="N201" s="38" t="str">
        <f t="shared" si="6"/>
        <v>078206513</v>
      </c>
      <c r="O201" s="43">
        <v>78206513000140</v>
      </c>
      <c r="P201" s="38" t="s">
        <v>661</v>
      </c>
      <c r="Q201" s="38" t="s">
        <v>245</v>
      </c>
      <c r="R201" s="38" t="s">
        <v>302</v>
      </c>
    </row>
    <row r="202" spans="14:18" x14ac:dyDescent="0.3">
      <c r="N202" s="38" t="str">
        <f t="shared" si="6"/>
        <v>0</v>
      </c>
      <c r="O202" s="43"/>
      <c r="P202" s="38"/>
      <c r="Q202" s="38"/>
      <c r="R202" s="38"/>
    </row>
    <row r="203" spans="14:18" x14ac:dyDescent="0.3"/>
    <row r="204" spans="14:18" x14ac:dyDescent="0.3"/>
    <row r="205" spans="14:18" x14ac:dyDescent="0.3"/>
    <row r="206" spans="14:18" x14ac:dyDescent="0.3"/>
    <row r="207" spans="14:18" x14ac:dyDescent="0.3"/>
    <row r="208" spans="14:18" x14ac:dyDescent="0.3"/>
    <row r="209" x14ac:dyDescent="0.3"/>
    <row r="210" x14ac:dyDescent="0.3"/>
  </sheetData>
  <autoFilter ref="N1:R1" xr:uid="{47BC257A-4798-4D53-BA44-0BF931D1E497}"/>
  <mergeCells count="3">
    <mergeCell ref="S1:S20"/>
    <mergeCell ref="L1:L20"/>
    <mergeCell ref="Y26:AA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FRETE MÁQUINAS</vt:lpstr>
      <vt:lpstr>FRETE PEÇAS</vt:lpstr>
      <vt:lpstr>VW DAF</vt:lpstr>
      <vt:lpstr>PEDIDO COMPRA</vt:lpstr>
      <vt:lpstr>UTIL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Caroline Marques</dc:creator>
  <cp:lastModifiedBy>Marcela Caroline Marques</cp:lastModifiedBy>
  <dcterms:created xsi:type="dcterms:W3CDTF">2025-11-11T13:48:15Z</dcterms:created>
  <dcterms:modified xsi:type="dcterms:W3CDTF">2025-11-12T02:21:52Z</dcterms:modified>
</cp:coreProperties>
</file>